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値リスト" sheetId="1" state="visible" r:id="rId3"/>
    <sheet name="Terrains" sheetId="2" state="visible" r:id="rId4"/>
    <sheet name="Maps" sheetId="3" state="visible" r:id="rId5"/>
    <sheet name="Items" sheetId="4" state="visible" r:id="rId6"/>
    <sheet name="ItemSpawns" sheetId="5" state="visible" r:id="rId7"/>
    <sheet name="Recipes" sheetId="6" state="visible" r:id="rId8"/>
    <sheet name="RecipeHin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<sst xmlns="http://schemas.openxmlformats.org/spreadsheetml/2006/main" count="6335" uniqueCount="1602">
  <si>
    <t xml:space="preserve">categoryId</t>
  </si>
  <si>
    <t xml:space="preserve">processId</t>
  </si>
  <si>
    <t xml:space="preserve">ID</t>
  </si>
  <si>
    <t xml:space="preserve">名前</t>
  </si>
  <si>
    <t xml:space="preserve">icon</t>
  </si>
  <si>
    <t xml:space="preserve">説明</t>
  </si>
  <si>
    <t xml:space="preserve">属性</t>
  </si>
  <si>
    <t xml:space="preserve">効果</t>
  </si>
  <si>
    <t xml:space="preserve">flora</t>
  </si>
  <si>
    <t xml:space="preserve">植物</t>
  </si>
  <si>
    <t xml:space="preserve">🌿</t>
  </si>
  <si>
    <t xml:space="preserve">葉、花、茎など。調合の基本素材</t>
  </si>
  <si>
    <t xml:space="preserve">grind</t>
  </si>
  <si>
    <t xml:space="preserve">すりつぶす</t>
  </si>
  <si>
    <t xml:space="preserve">土属性強化</t>
  </si>
  <si>
    <t xml:space="preserve">反応性強化</t>
  </si>
  <si>
    <t xml:space="preserve">fungi</t>
  </si>
  <si>
    <t xml:space="preserve">菌類</t>
  </si>
  <si>
    <t xml:space="preserve">🍄</t>
  </si>
  <si>
    <t xml:space="preserve">キノコやカビ。特殊な変化をもたらす</t>
  </si>
  <si>
    <t xml:space="preserve">boil</t>
  </si>
  <si>
    <t xml:space="preserve">煮る</t>
  </si>
  <si>
    <t xml:space="preserve">水＋火属性強化</t>
  </si>
  <si>
    <t xml:space="preserve">融解</t>
  </si>
  <si>
    <t xml:space="preserve">liquid</t>
  </si>
  <si>
    <t xml:space="preserve">水質</t>
  </si>
  <si>
    <t xml:space="preserve">🧪</t>
  </si>
  <si>
    <t xml:space="preserve">湧き水や朝露。液体ベース素材</t>
  </si>
  <si>
    <t xml:space="preserve">dry</t>
  </si>
  <si>
    <t xml:space="preserve">乾燥させる</t>
  </si>
  <si>
    <t xml:space="preserve">風属性強化</t>
  </si>
  <si>
    <t xml:space="preserve">強化</t>
  </si>
  <si>
    <t xml:space="preserve">mineral</t>
  </si>
  <si>
    <t xml:space="preserve">鉱物</t>
  </si>
  <si>
    <t xml:space="preserve">🪨</t>
  </si>
  <si>
    <t xml:space="preserve">石、塩、泥など。無機物素材</t>
  </si>
  <si>
    <t xml:space="preserve">raw</t>
  </si>
  <si>
    <t xml:space="preserve">そのまま</t>
  </si>
  <si>
    <t xml:space="preserve">鮮度アップ</t>
  </si>
  <si>
    <t xml:space="preserve">鮮度</t>
  </si>
  <si>
    <t xml:space="preserve">creature</t>
  </si>
  <si>
    <t xml:space="preserve">動物性</t>
  </si>
  <si>
    <t xml:space="preserve">🪶</t>
  </si>
  <si>
    <t xml:space="preserve">羽根や抜け殻、牙など</t>
  </si>
  <si>
    <t xml:space="preserve">ferment</t>
  </si>
  <si>
    <t xml:space="preserve">発酵させる</t>
  </si>
  <si>
    <t xml:space="preserve">無属性化</t>
  </si>
  <si>
    <t xml:space="preserve">変質</t>
  </si>
  <si>
    <t xml:space="preserve">relics</t>
  </si>
  <si>
    <t xml:space="preserve">遺物</t>
  </si>
  <si>
    <t xml:space="preserve">🏺</t>
  </si>
  <si>
    <t xml:space="preserve">釘やコイン、ガラス瓶などの人工物</t>
  </si>
  <si>
    <t xml:space="preserve">burn</t>
  </si>
  <si>
    <t xml:space="preserve">焼く</t>
  </si>
  <si>
    <t xml:space="preserve">火属性強化</t>
  </si>
  <si>
    <t xml:space="preserve">無毒化</t>
  </si>
  <si>
    <t xml:space="preserve">processed</t>
  </si>
  <si>
    <t xml:space="preserve">加工品</t>
  </si>
  <si>
    <t xml:space="preserve">🫙</t>
  </si>
  <si>
    <t xml:space="preserve">調合の中間素材や二次的素材</t>
  </si>
  <si>
    <t xml:space="preserve">freeze</t>
  </si>
  <si>
    <t xml:space="preserve">凍らせる</t>
  </si>
  <si>
    <t xml:space="preserve">郡属性強化</t>
  </si>
  <si>
    <t xml:space="preserve">保存</t>
  </si>
  <si>
    <t xml:space="preserve">dissolve</t>
  </si>
  <si>
    <t xml:space="preserve">溶かす</t>
  </si>
  <si>
    <t xml:space="preserve">水属性強化</t>
  </si>
  <si>
    <t xml:space="preserve">distill</t>
  </si>
  <si>
    <t xml:space="preserve">蒸留</t>
  </si>
  <si>
    <t xml:space="preserve">純化</t>
  </si>
  <si>
    <r>
      <rPr>
        <b val="true"/>
        <sz val="9"/>
        <color rgb="FF1E3A5F"/>
        <rFont val="Arial"/>
        <family val="0"/>
        <charset val="1"/>
      </rPr>
      <t xml:space="preserve">effectId</t>
    </r>
    <r>
      <rPr>
        <b val="true"/>
        <sz val="9"/>
        <color rgb="FF1E3A5F"/>
        <rFont val="Noto Sans CJK SC"/>
        <family val="2"/>
      </rPr>
      <t xml:space="preserve">（薬効）</t>
    </r>
  </si>
  <si>
    <t xml:space="preserve">healing</t>
  </si>
  <si>
    <t xml:space="preserve">治癒</t>
  </si>
  <si>
    <t xml:space="preserve">🩹</t>
  </si>
  <si>
    <t xml:space="preserve">傷口を塞ぎ体力を回復</t>
  </si>
  <si>
    <r>
      <rPr>
        <b val="true"/>
        <sz val="9"/>
        <color rgb="FF1E3A5F"/>
        <rFont val="Arial"/>
        <family val="0"/>
        <charset val="1"/>
      </rPr>
      <t xml:space="preserve">timeSlot</t>
    </r>
    <r>
      <rPr>
        <b val="true"/>
        <sz val="9"/>
        <color rgb="FF1E3A5F"/>
        <rFont val="Noto Sans CJK SC"/>
        <family val="2"/>
      </rPr>
      <t xml:space="preserve">（例）</t>
    </r>
  </si>
  <si>
    <t xml:space="preserve">detox</t>
  </si>
  <si>
    <t xml:space="preserve">解毒</t>
  </si>
  <si>
    <t xml:space="preserve">体内の毒素を中和</t>
  </si>
  <si>
    <t xml:space="preserve">tonic</t>
  </si>
  <si>
    <t xml:space="preserve">滋養強壮</t>
  </si>
  <si>
    <t xml:space="preserve">🍗</t>
  </si>
  <si>
    <t xml:space="preserve">肉体の疲れを取り活力を</t>
  </si>
  <si>
    <t xml:space="preserve">dawn</t>
  </si>
  <si>
    <t xml:space="preserve">夜明け</t>
  </si>
  <si>
    <t xml:space="preserve">stimulation</t>
  </si>
  <si>
    <t xml:space="preserve">興奮</t>
  </si>
  <si>
    <t xml:space="preserve">⚡</t>
  </si>
  <si>
    <t xml:space="preserve">集中力・反応速度を一時UP</t>
  </si>
  <si>
    <t xml:space="preserve">morning</t>
  </si>
  <si>
    <t xml:space="preserve">朝</t>
  </si>
  <si>
    <t xml:space="preserve">sedation</t>
  </si>
  <si>
    <t xml:space="preserve">鎮静</t>
  </si>
  <si>
    <t xml:space="preserve">💤</t>
  </si>
  <si>
    <t xml:space="preserve">昂った精神を落ち着かせる</t>
  </si>
  <si>
    <t xml:space="preserve">noon</t>
  </si>
  <si>
    <t xml:space="preserve">昼</t>
  </si>
  <si>
    <t xml:space="preserve">stable</t>
  </si>
  <si>
    <t xml:space="preserve">安定</t>
  </si>
  <si>
    <t xml:space="preserve">⚪</t>
  </si>
  <si>
    <t xml:space="preserve">成分を安定させる</t>
  </si>
  <si>
    <t xml:space="preserve">afternoon</t>
  </si>
  <si>
    <t xml:space="preserve">午後</t>
  </si>
  <si>
    <t xml:space="preserve">levitation</t>
  </si>
  <si>
    <t xml:space="preserve">浮遊</t>
  </si>
  <si>
    <t xml:space="preserve">🎈</t>
  </si>
  <si>
    <t xml:space="preserve">重力の影響を中和する</t>
  </si>
  <si>
    <t xml:space="preserve">night</t>
  </si>
  <si>
    <t xml:space="preserve">夜</t>
  </si>
  <si>
    <t xml:space="preserve">mystic</t>
  </si>
  <si>
    <t xml:space="preserve">神秘</t>
  </si>
  <si>
    <t xml:space="preserve">☄️</t>
  </si>
  <si>
    <t xml:space="preserve">魔力回路を一時的に拡張</t>
  </si>
  <si>
    <t xml:space="preserve">midnight</t>
  </si>
  <si>
    <t xml:space="preserve">深夜</t>
  </si>
  <si>
    <t xml:space="preserve">insulation</t>
  </si>
  <si>
    <t xml:space="preserve">防護</t>
  </si>
  <si>
    <t xml:space="preserve">🛡️</t>
  </si>
  <si>
    <t xml:space="preserve">属性ダメージを軽減</t>
  </si>
  <si>
    <t xml:space="preserve">poison</t>
  </si>
  <si>
    <t xml:space="preserve">猛毒</t>
  </si>
  <si>
    <t xml:space="preserve">💀</t>
  </si>
  <si>
    <t xml:space="preserve">生命活動を停止させる</t>
  </si>
  <si>
    <t xml:space="preserve">checkType</t>
  </si>
  <si>
    <t xml:space="preserve">none</t>
  </si>
  <si>
    <t xml:space="preserve">なし</t>
  </si>
  <si>
    <t xml:space="preserve">特筆すべき薬効なし</t>
  </si>
  <si>
    <r>
      <rPr>
        <b val="true"/>
        <sz val="9"/>
        <color rgb="FF1E3A5F"/>
        <rFont val="Arial"/>
        <family val="0"/>
        <charset val="1"/>
      </rPr>
      <t xml:space="preserve">reactionId</t>
    </r>
    <r>
      <rPr>
        <b val="true"/>
        <sz val="9"/>
        <color rgb="FF1E3A5F"/>
        <rFont val="Noto Sans CJK SC"/>
        <family val="2"/>
      </rPr>
      <t xml:space="preserve">（調合時の効果）</t>
    </r>
  </si>
  <si>
    <t xml:space="preserve">itemId</t>
  </si>
  <si>
    <t xml:space="preserve">特定アイテムID</t>
  </si>
  <si>
    <t xml:space="preserve">表示名</t>
  </si>
  <si>
    <t xml:space="preserve">カテゴリID</t>
  </si>
  <si>
    <t xml:space="preserve">coagulate</t>
  </si>
  <si>
    <t xml:space="preserve">凝固</t>
  </si>
  <si>
    <t xml:space="preserve">液体や素材を固める。形状を保つのに使う</t>
  </si>
  <si>
    <t xml:space="preserve">effectId</t>
  </si>
  <si>
    <t xml:space="preserve">薬効ID</t>
  </si>
  <si>
    <t xml:space="preserve">preserve</t>
  </si>
  <si>
    <t xml:space="preserve">素材の鮮度や効果を長期間維持する</t>
  </si>
  <si>
    <t xml:space="preserve">reactionId</t>
  </si>
  <si>
    <t xml:space="preserve">調合時効果ID</t>
  </si>
  <si>
    <t xml:space="preserve">separate</t>
  </si>
  <si>
    <t xml:space="preserve">分離</t>
  </si>
  <si>
    <t xml:space="preserve">混合物から特定の成分を取り出す</t>
  </si>
  <si>
    <t xml:space="preserve">elementId</t>
  </si>
  <si>
    <t xml:space="preserve">属性ID</t>
  </si>
  <si>
    <t xml:space="preserve">volatile</t>
  </si>
  <si>
    <t xml:space="preserve">揮発</t>
  </si>
  <si>
    <t xml:space="preserve">成分を気化させる。気体素材の生成に</t>
  </si>
  <si>
    <t xml:space="preserve">permeate</t>
  </si>
  <si>
    <t xml:space="preserve">浸透</t>
  </si>
  <si>
    <t xml:space="preserve">他の素材や対象に成分を染み込ませる</t>
  </si>
  <si>
    <t xml:space="preserve">catalyst</t>
  </si>
  <si>
    <t xml:space="preserve">触媒</t>
  </si>
  <si>
    <t xml:space="preserve">他の反応を促進する。自身は変化しない</t>
  </si>
  <si>
    <t xml:space="preserve">neutralize</t>
  </si>
  <si>
    <t xml:space="preserve">中和</t>
  </si>
  <si>
    <t xml:space="preserve">酸・毒・属性などの効果を打ち消す</t>
  </si>
  <si>
    <t xml:space="preserve">【色の凡例】</t>
  </si>
  <si>
    <t xml:space="preserve">▼ 日本語で選択入力する列</t>
  </si>
  <si>
    <t xml:space="preserve">🔵 英語IDが自動表示される列（編集不要）</t>
  </si>
  <si>
    <r>
      <rPr>
        <b val="true"/>
        <sz val="11"/>
        <rFont val="Cambria"/>
        <family val="0"/>
        <charset val="1"/>
      </rPr>
      <t xml:space="preserve">Terrains</t>
    </r>
    <r>
      <rPr>
        <b val="true"/>
        <sz val="11"/>
        <rFont val="Noto Sans CJK SC"/>
        <family val="2"/>
      </rPr>
      <t xml:space="preserve">（地形定義）  ―  マップの</t>
    </r>
    <r>
      <rPr>
        <b val="true"/>
        <sz val="11"/>
        <rFont val="Cambria"/>
        <family val="0"/>
        <charset val="1"/>
      </rPr>
      <t xml:space="preserve">1</t>
    </r>
    <r>
      <rPr>
        <b val="true"/>
        <sz val="11"/>
        <rFont val="Noto Sans CJK SC"/>
        <family val="2"/>
      </rPr>
      <t xml:space="preserve">マスに割り当てられる地形の種類</t>
    </r>
  </si>
  <si>
    <t xml:space="preserve">terrainId</t>
  </si>
  <si>
    <t xml:space="preserve">表示色</t>
  </si>
  <si>
    <t xml:space="preserve">ter_grass</t>
  </si>
  <si>
    <t xml:space="preserve">草むら</t>
  </si>
  <si>
    <t xml:space="preserve">#C0DD97</t>
  </si>
  <si>
    <t xml:space="preserve">丈の低い草が茂る。どこにでもある地形。</t>
  </si>
  <si>
    <t xml:space="preserve">ter_shrub</t>
  </si>
  <si>
    <t xml:space="preserve">低木</t>
  </si>
  <si>
    <t xml:space="preserve">#97C459</t>
  </si>
  <si>
    <t xml:space="preserve">腰までの潅木が茂る。実や葉が採れる。</t>
  </si>
  <si>
    <t xml:space="preserve">ter_bare</t>
  </si>
  <si>
    <t xml:space="preserve">裸地</t>
  </si>
  <si>
    <t xml:space="preserve">#D3D1C7</t>
  </si>
  <si>
    <t xml:space="preserve">草も生えない剥き出しの土。</t>
  </si>
  <si>
    <t xml:space="preserve">ter_rock</t>
  </si>
  <si>
    <t xml:space="preserve">岩場</t>
  </si>
  <si>
    <t xml:space="preserve">#B4B2A9</t>
  </si>
  <si>
    <t xml:space="preserve">大小の岩が転がる。陰に生き物が潜む。</t>
  </si>
  <si>
    <t xml:space="preserve">ter_boulder</t>
  </si>
  <si>
    <t xml:space="preserve">大岩</t>
  </si>
  <si>
    <t xml:space="preserve">#888780</t>
  </si>
  <si>
    <t xml:space="preserve">動かせない巨岩。表面に苔や鉱物。</t>
  </si>
  <si>
    <t xml:space="preserve">ter_trunk</t>
  </si>
  <si>
    <t xml:space="preserve">樹幹</t>
  </si>
  <si>
    <t xml:space="preserve">#7A5C3E</t>
  </si>
  <si>
    <t xml:space="preserve">太い木の根元。樹皮を伝う水がある。</t>
  </si>
  <si>
    <t xml:space="preserve">ter_leaflitter</t>
  </si>
  <si>
    <t xml:space="preserve">落ち葉だまり</t>
  </si>
  <si>
    <t xml:space="preserve">#BA7517</t>
  </si>
  <si>
    <t xml:space="preserve">積もった落ち葉の下。菌類の温床。</t>
  </si>
  <si>
    <t xml:space="preserve">ter_deadwood</t>
  </si>
  <si>
    <t xml:space="preserve">倒木</t>
  </si>
  <si>
    <t xml:space="preserve">#854F0B</t>
  </si>
  <si>
    <t xml:space="preserve">朽ちた倒木。分解者が集まる。</t>
  </si>
  <si>
    <t xml:space="preserve">ter_glade</t>
  </si>
  <si>
    <t xml:space="preserve">木漏れ日の空き地</t>
  </si>
  <si>
    <t xml:space="preserve">#EAF3DE</t>
  </si>
  <si>
    <t xml:space="preserve">林の中の明るい隙間。草花が育つ。</t>
  </si>
  <si>
    <t xml:space="preserve">ter_river</t>
  </si>
  <si>
    <t xml:space="preserve">川の中</t>
  </si>
  <si>
    <t xml:space="preserve">#378ADD</t>
  </si>
  <si>
    <t xml:space="preserve">流れの速い本流。足を取られる。</t>
  </si>
  <si>
    <t xml:space="preserve">ter_shallow</t>
  </si>
  <si>
    <t xml:space="preserve">浅瀬</t>
  </si>
  <si>
    <t xml:space="preserve">#85B7EB</t>
  </si>
  <si>
    <t xml:space="preserve">膝までの流れ。水草と小魚。</t>
  </si>
  <si>
    <t xml:space="preserve">ter_gravel</t>
  </si>
  <si>
    <t xml:space="preserve">河原</t>
  </si>
  <si>
    <t xml:space="preserve">#EF9F27</t>
  </si>
  <si>
    <t xml:space="preserve">水に洗われた石が敷き詰められた岸。</t>
  </si>
  <si>
    <t xml:space="preserve">ter_mud</t>
  </si>
  <si>
    <t xml:space="preserve">ぬかるみ</t>
  </si>
  <si>
    <t xml:space="preserve">#996B3D</t>
  </si>
  <si>
    <t xml:space="preserve">踏み抜くと沈む泥。</t>
  </si>
  <si>
    <t xml:space="preserve">ter_peat</t>
  </si>
  <si>
    <t xml:space="preserve">泥炭地</t>
  </si>
  <si>
    <t xml:space="preserve">#4A3520</t>
  </si>
  <si>
    <t xml:space="preserve">黒く積もった泥炭層。</t>
  </si>
  <si>
    <t xml:space="preserve">ter_reed</t>
  </si>
  <si>
    <t xml:space="preserve">水草</t>
  </si>
  <si>
    <t xml:space="preserve">#639922</t>
  </si>
  <si>
    <t xml:space="preserve">水面を覆う草。根が絡み合う。</t>
  </si>
  <si>
    <t xml:space="preserve">ter_stagnant</t>
  </si>
  <si>
    <t xml:space="preserve">淀み</t>
  </si>
  <si>
    <t xml:space="preserve">#5F6E3B</t>
  </si>
  <si>
    <t xml:space="preserve">流れの止まった水。濁って底が見えない。</t>
  </si>
  <si>
    <t xml:space="preserve">ter_snag</t>
  </si>
  <si>
    <t xml:space="preserve">立ち枯れ</t>
  </si>
  <si>
    <t xml:space="preserve">#8B7B6B</t>
  </si>
  <si>
    <t xml:space="preserve">枯れたまま立つ木。虫と菌の住処。</t>
  </si>
  <si>
    <t xml:space="preserve">ter_ledge</t>
  </si>
  <si>
    <t xml:space="preserve">岩棚</t>
  </si>
  <si>
    <t xml:space="preserve">#9FA5AA</t>
  </si>
  <si>
    <t xml:space="preserve">風の当たる張り出した岩。</t>
  </si>
  <si>
    <t xml:space="preserve">ter_snowfield</t>
  </si>
  <si>
    <t xml:space="preserve">残雪</t>
  </si>
  <si>
    <t xml:space="preserve">#E6F1FB</t>
  </si>
  <si>
    <t xml:space="preserve">溶け残った雪。融水が流れる。</t>
  </si>
  <si>
    <t xml:space="preserve">ter_alpine</t>
  </si>
  <si>
    <t xml:space="preserve">高山草地</t>
  </si>
  <si>
    <t xml:space="preserve">#9FE1CB</t>
  </si>
  <si>
    <t xml:space="preserve">短い草が張り付く高地の斜面。</t>
  </si>
  <si>
    <t xml:space="preserve">ter_sand</t>
  </si>
  <si>
    <t xml:space="preserve">砂地</t>
  </si>
  <si>
    <t xml:space="preserve">#FAC775</t>
  </si>
  <si>
    <t xml:space="preserve">乾いた細かい砂。</t>
  </si>
  <si>
    <t xml:space="preserve">ter_dune</t>
  </si>
  <si>
    <t xml:space="preserve">砂丘</t>
  </si>
  <si>
    <t xml:space="preserve">#F0997B</t>
  </si>
  <si>
    <t xml:space="preserve">風が作った砂の丘。夜に冷える。</t>
  </si>
  <si>
    <t xml:space="preserve">ter_driedbed</t>
  </si>
  <si>
    <t xml:space="preserve">干上がった川床</t>
  </si>
  <si>
    <t xml:space="preserve">#B4A98F</t>
  </si>
  <si>
    <t xml:space="preserve">かつて水が流れていた窪み。</t>
  </si>
  <si>
    <t xml:space="preserve">ter_beach</t>
  </si>
  <si>
    <t xml:space="preserve">砂浜</t>
  </si>
  <si>
    <t xml:space="preserve">#FAEEDA</t>
  </si>
  <si>
    <t xml:space="preserve">波打ち際の砂。貝殻が混じる。</t>
  </si>
  <si>
    <t xml:space="preserve">ter_tidepool</t>
  </si>
  <si>
    <t xml:space="preserve">潮だまり</t>
  </si>
  <si>
    <t xml:space="preserve">#5DCAA5</t>
  </si>
  <si>
    <t xml:space="preserve">引き潮に取り残された水たまり。</t>
  </si>
  <si>
    <t xml:space="preserve">ter_reef</t>
  </si>
  <si>
    <t xml:space="preserve">岩礁</t>
  </si>
  <si>
    <t xml:space="preserve">#0F6E56</t>
  </si>
  <si>
    <t xml:space="preserve">波に洗われる岩。海の生き物が付く。</t>
  </si>
  <si>
    <t xml:space="preserve">ter_driftwood</t>
  </si>
  <si>
    <t xml:space="preserve">漂着物</t>
  </si>
  <si>
    <t xml:space="preserve">流れ着いた木や人工物が溜まる場所。</t>
  </si>
  <si>
    <t xml:space="preserve">ter_stalactite</t>
  </si>
  <si>
    <t xml:space="preserve">鍾乳石</t>
  </si>
  <si>
    <t xml:space="preserve">#CECBF6</t>
  </si>
  <si>
    <t xml:space="preserve">滴りが作った石の柱。</t>
  </si>
  <si>
    <t xml:space="preserve">ter_darkness</t>
  </si>
  <si>
    <t xml:space="preserve">暗がり</t>
  </si>
  <si>
    <t xml:space="preserve">#3C3489</t>
  </si>
  <si>
    <t xml:space="preserve">光の届かない奥。</t>
  </si>
  <si>
    <t xml:space="preserve">ter_orevein</t>
  </si>
  <si>
    <t xml:space="preserve">鉱脈</t>
  </si>
  <si>
    <t xml:space="preserve">#7F77DD</t>
  </si>
  <si>
    <t xml:space="preserve">岩肌に露出した鉱石の筋。</t>
  </si>
  <si>
    <t xml:space="preserve">ter_fumarole</t>
  </si>
  <si>
    <t xml:space="preserve">噴気孔</t>
  </si>
  <si>
    <t xml:space="preserve">#E24B4A</t>
  </si>
  <si>
    <t xml:space="preserve">硫黄の気が噴き出す穴。</t>
  </si>
  <si>
    <t xml:space="preserve">ter_lavafield</t>
  </si>
  <si>
    <t xml:space="preserve">溶岩原</t>
  </si>
  <si>
    <t xml:space="preserve">#791F1F</t>
  </si>
  <si>
    <t xml:space="preserve">冷えて固まった溶岩の原。</t>
  </si>
  <si>
    <t xml:space="preserve">ter_hotspring</t>
  </si>
  <si>
    <t xml:space="preserve">温泉</t>
  </si>
  <si>
    <t xml:space="preserve">#F09595</t>
  </si>
  <si>
    <t xml:space="preserve">地熱で温まった湧き水。</t>
  </si>
  <si>
    <t xml:space="preserve">ter_ruinhouse</t>
  </si>
  <si>
    <t xml:space="preserve">廃屋</t>
  </si>
  <si>
    <t xml:space="preserve">崩れかけた家の跡。</t>
  </si>
  <si>
    <t xml:space="preserve">ter_well</t>
  </si>
  <si>
    <t xml:space="preserve">井戸</t>
  </si>
  <si>
    <t xml:space="preserve">#5F5E5A</t>
  </si>
  <si>
    <t xml:space="preserve">涸れずに水を溜めた古井戸。</t>
  </si>
  <si>
    <t xml:space="preserve">ter_hearth</t>
  </si>
  <si>
    <t xml:space="preserve">竈跡</t>
  </si>
  <si>
    <t xml:space="preserve">#444441</t>
  </si>
  <si>
    <t xml:space="preserve">焼けた土と灰が残る炉の跡。</t>
  </si>
  <si>
    <t xml:space="preserve">ter_fieldplot</t>
  </si>
  <si>
    <t xml:space="preserve">畑跡</t>
  </si>
  <si>
    <t xml:space="preserve">作物の名残がある耕地の跡。</t>
  </si>
  <si>
    <r>
      <rPr>
        <b val="true"/>
        <sz val="11"/>
        <rFont val="Cambria"/>
        <family val="0"/>
        <charset val="1"/>
      </rPr>
      <t xml:space="preserve">Maps</t>
    </r>
    <r>
      <rPr>
        <b val="true"/>
        <sz val="11"/>
        <rFont val="Noto Sans CJK SC"/>
        <family val="2"/>
      </rPr>
      <t xml:space="preserve">（固定マップ）  ―  各エリア </t>
    </r>
    <r>
      <rPr>
        <b val="true"/>
        <sz val="11"/>
        <rFont val="Cambria"/>
        <family val="0"/>
        <charset val="1"/>
      </rPr>
      <t xml:space="preserve">10×10</t>
    </r>
    <r>
      <rPr>
        <b val="true"/>
        <sz val="11"/>
        <rFont val="Noto Sans CJK SC"/>
        <family val="2"/>
      </rPr>
      <t xml:space="preserve">。セルの色＝地形。ここを書き換えれば配置が変わる</t>
    </r>
  </si>
  <si>
    <t xml:space="preserve">森　（loc_forest）</t>
  </si>
  <si>
    <t xml:space="preserve">草原　（loc_meadow）</t>
  </si>
  <si>
    <t xml:space="preserve">洞窟　（loc_cave）</t>
  </si>
  <si>
    <t xml:space="preserve">川辺　（loc_riverside）</t>
  </si>
  <si>
    <t xml:space="preserve">高原　（loc_highland）</t>
  </si>
  <si>
    <t xml:space="preserve">荒野　（loc_wasteland）</t>
  </si>
  <si>
    <t xml:space="preserve">沼地　（loc_swamp）</t>
  </si>
  <si>
    <t xml:space="preserve">海辺　（loc_seashore）</t>
  </si>
  <si>
    <t xml:space="preserve">火山帯　（loc_volcanic）</t>
  </si>
  <si>
    <t xml:space="preserve">廃村　（loc_ruins）</t>
  </si>
  <si>
    <r>
      <rPr>
        <b val="true"/>
        <sz val="11"/>
        <color rgb="FF1E3A5F"/>
        <rFont val="Arial"/>
        <family val="0"/>
        <charset val="1"/>
      </rPr>
      <t xml:space="preserve">Items</t>
    </r>
    <r>
      <rPr>
        <b val="true"/>
        <sz val="11"/>
        <color rgb="FF1E3A5F"/>
        <rFont val="Noto Sans CJK SC"/>
        <family val="2"/>
      </rPr>
      <t xml:space="preserve">（</t>
    </r>
    <r>
      <rPr>
        <b val="true"/>
        <sz val="11"/>
        <color rgb="FF1E3A5F"/>
        <rFont val="Arial"/>
        <family val="0"/>
        <charset val="1"/>
      </rPr>
      <t xml:space="preserve">data_items.js</t>
    </r>
    <r>
      <rPr>
        <b val="true"/>
        <sz val="11"/>
        <color rgb="FF1E3A5F"/>
        <rFont val="Noto Sans CJK SC"/>
        <family val="2"/>
      </rPr>
      <t xml:space="preserve">）  ―  </t>
    </r>
    <r>
      <rPr>
        <b val="true"/>
        <sz val="11"/>
        <color rgb="FF1E3A5F"/>
        <rFont val="Arial"/>
        <family val="0"/>
        <charset val="1"/>
      </rPr>
      <t xml:space="preserve">1</t>
    </r>
    <r>
      <rPr>
        <b val="true"/>
        <sz val="11"/>
        <color rgb="FF1E3A5F"/>
        <rFont val="Noto Sans CJK SC"/>
        <family val="2"/>
      </rPr>
      <t xml:space="preserve">行 ＝ </t>
    </r>
    <r>
      <rPr>
        <b val="true"/>
        <sz val="11"/>
        <color rgb="FF1E3A5F"/>
        <rFont val="Arial"/>
        <family val="0"/>
        <charset val="1"/>
      </rPr>
      <t xml:space="preserve">1</t>
    </r>
    <r>
      <rPr>
        <b val="true"/>
        <sz val="11"/>
        <color rgb="FF1E3A5F"/>
        <rFont val="Noto Sans CJK SC"/>
        <family val="2"/>
      </rPr>
      <t xml:space="preserve">アイテム</t>
    </r>
  </si>
  <si>
    <r>
      <rPr>
        <b val="true"/>
        <sz val="9"/>
        <color theme="1"/>
        <rFont val="Cambria"/>
        <family val="0"/>
        <charset val="1"/>
      </rPr>
      <t xml:space="preserve">id
</t>
    </r>
    <r>
      <rPr>
        <b val="true"/>
        <sz val="9"/>
        <color theme="1"/>
        <rFont val="Noto Sans CJK SC"/>
        <family val="2"/>
      </rPr>
      <t xml:space="preserve">例</t>
    </r>
    <r>
      <rPr>
        <b val="true"/>
        <sz val="9"/>
        <color theme="1"/>
        <rFont val="Cambria"/>
        <family val="0"/>
        <charset val="1"/>
      </rPr>
      <t xml:space="preserve">: item_001</t>
    </r>
  </si>
  <si>
    <r>
      <rPr>
        <b val="true"/>
        <sz val="9"/>
        <color theme="1"/>
        <rFont val="Cambria"/>
        <family val="0"/>
        <charset val="1"/>
      </rPr>
      <t xml:space="preserve">name
</t>
    </r>
    <r>
      <rPr>
        <b val="true"/>
        <sz val="9"/>
        <color theme="1"/>
        <rFont val="Noto Sans CJK SC"/>
        <family val="2"/>
      </rPr>
      <t xml:space="preserve">日本語名</t>
    </r>
  </si>
  <si>
    <r>
      <rPr>
        <b val="true"/>
        <sz val="9"/>
        <color theme="1"/>
        <rFont val="Cambria"/>
        <family val="0"/>
        <charset val="1"/>
      </rPr>
      <t xml:space="preserve">categoryId
▼</t>
    </r>
    <r>
      <rPr>
        <b val="true"/>
        <sz val="9"/>
        <color theme="1"/>
        <rFont val="Noto Sans CJK SC"/>
        <family val="2"/>
      </rPr>
      <t xml:space="preserve">日本語で選択</t>
    </r>
  </si>
  <si>
    <r>
      <rPr>
        <b val="true"/>
        <sz val="9"/>
        <color theme="1"/>
        <rFont val="Cambria"/>
        <family val="0"/>
        <charset val="1"/>
      </rPr>
      <t xml:space="preserve">categoryId
※</t>
    </r>
    <r>
      <rPr>
        <b val="true"/>
        <sz val="9"/>
        <color theme="1"/>
        <rFont val="Noto Sans CJK SC"/>
        <family val="2"/>
      </rPr>
      <t xml:space="preserve">自動入力</t>
    </r>
  </si>
  <si>
    <r>
      <rPr>
        <b val="true"/>
        <sz val="9"/>
        <color theme="1"/>
        <rFont val="Cambria"/>
        <family val="0"/>
        <charset val="1"/>
      </rPr>
      <t xml:space="preserve">effectId
</t>
    </r>
    <r>
      <rPr>
        <b val="true"/>
        <sz val="9"/>
        <color theme="1"/>
        <rFont val="Noto Sans CJK SC"/>
        <family val="2"/>
      </rPr>
      <t xml:space="preserve">薬効 ▼日本語で選択</t>
    </r>
  </si>
  <si>
    <r>
      <rPr>
        <b val="true"/>
        <sz val="9"/>
        <color theme="1"/>
        <rFont val="Cambria"/>
        <family val="0"/>
        <charset val="1"/>
      </rPr>
      <t xml:space="preserve">effectId
※</t>
    </r>
    <r>
      <rPr>
        <b val="true"/>
        <sz val="9"/>
        <color theme="1"/>
        <rFont val="Noto Sans CJK SC"/>
        <family val="2"/>
      </rPr>
      <t xml:space="preserve">自動入力</t>
    </r>
  </si>
  <si>
    <r>
      <rPr>
        <b val="true"/>
        <sz val="9"/>
        <color theme="1"/>
        <rFont val="Cambria"/>
        <family val="0"/>
        <charset val="1"/>
      </rPr>
      <t xml:space="preserve">reactionId
</t>
    </r>
    <r>
      <rPr>
        <b val="true"/>
        <sz val="9"/>
        <color theme="1"/>
        <rFont val="Noto Sans CJK SC"/>
        <family val="2"/>
      </rPr>
      <t xml:space="preserve">調合時効果 ▼日本語で選択</t>
    </r>
  </si>
  <si>
    <r>
      <rPr>
        <b val="true"/>
        <sz val="9"/>
        <color theme="1"/>
        <rFont val="Cambria"/>
        <family val="0"/>
        <charset val="1"/>
      </rPr>
      <t xml:space="preserve">reactionId
※</t>
    </r>
    <r>
      <rPr>
        <b val="true"/>
        <sz val="9"/>
        <color theme="1"/>
        <rFont val="Noto Sans CJK SC"/>
        <family val="2"/>
      </rPr>
      <t xml:space="preserve">自動入力</t>
    </r>
  </si>
  <si>
    <r>
      <rPr>
        <b val="true"/>
        <sz val="9"/>
        <color theme="1"/>
        <rFont val="Cambria"/>
        <family val="0"/>
        <charset val="1"/>
      </rPr>
      <t xml:space="preserve">description
</t>
    </r>
    <r>
      <rPr>
        <b val="true"/>
        <sz val="9"/>
        <color theme="1"/>
        <rFont val="Noto Sans CJK SC"/>
        <family val="2"/>
      </rPr>
      <t xml:space="preserve">説明文</t>
    </r>
  </si>
  <si>
    <t xml:space="preserve">メモ、採取後更新されるテキスト</t>
  </si>
  <si>
    <t xml:space="preserve">入手方法
採取 / 購入 / 調合</t>
  </si>
  <si>
    <t xml:space="preserve">基準価格
仮の目安値</t>
  </si>
  <si>
    <t xml:space="preserve">用途
素材 / 消耗品 / 道具 / 販売品</t>
  </si>
  <si>
    <t xml:space="preserve">店解禁
累計販売数がこれを超えると
店で買えるようになる</t>
  </si>
  <si>
    <t xml:space="preserve">剤形
液体 / 粉末 / 固形 / 気体 / 素材</t>
  </si>
  <si>
    <t xml:space="preserve">実装済?
✔を入力</t>
  </si>
  <si>
    <t xml:space="preserve">item_001</t>
  </si>
  <si>
    <t xml:space="preserve">ニガタケ</t>
  </si>
  <si>
    <t xml:space="preserve">ありふれたキノコ。薬の材料になる。</t>
  </si>
  <si>
    <t xml:space="preserve">基本素材 よく生えているキノコ。意外なことに薬になるが、味は良くない。火を加えると薬効が高まるが、味もひどく苦くなる。</t>
  </si>
  <si>
    <t xml:space="preserve">採取</t>
  </si>
  <si>
    <t xml:space="preserve">素材</t>
  </si>
  <si>
    <t xml:space="preserve">item_002</t>
  </si>
  <si>
    <t xml:space="preserve">ハシリタケ</t>
  </si>
  <si>
    <t xml:space="preserve">夜歩き出すという伝説のあるキノコ</t>
  </si>
  <si>
    <t xml:space="preserve">一晩に数メートルから十数メートル移動するキノコ。いくつかの種類があるが、多量に摂取すると毒となる。少量なら興奮効果をもたらす。</t>
  </si>
  <si>
    <t xml:space="preserve">item_003</t>
  </si>
  <si>
    <t xml:space="preserve">ニガハシリダケ</t>
  </si>
  <si>
    <t xml:space="preserve">ニガタケによく似ているが、現れては消えて夜の旅人の道行を惑わすという。</t>
  </si>
  <si>
    <t xml:space="preserve">ニガタケによく似たハシリダケの一種。どこにでも見かけるキノコ、ニガタケに紛れて見つけにくい。ハシリダケの一種であるため、一晩に十メートル前後移動するが、じっと見つめていないとわからないため見つけにくい。キノコを目印にした旅人を惑わす。
 とれる場所：森 林
 取れる時間帯：夜は確率が上がる。昼はニガタケにまじってまれに取れることがある。
 調合のヒント：ニガタケとハシリタケの特性を持つが、鮮度が落ちるのが速い。</t>
  </si>
  <si>
    <t xml:space="preserve">item_004</t>
  </si>
  <si>
    <t xml:space="preserve">ドロワリタケ</t>
  </si>
  <si>
    <t xml:space="preserve">沼地の泥炭層から生える黒くて平たいキノコ。水分を非常に多く含む。</t>
  </si>
  <si>
    <t xml:space="preserve">泥の中ではその姿を捉えることは叶わないが、採取し洗ってみれば、泥炭の養分を凝縮したような漆黒の弾力が現れる。滋養強壮の薬として名高いが、真に驚くべきはその「触媒」としての力だ。このキノコを釜に投じれば、一夜で成長するその生命力が、本来は反応の遅い重い素材同士を強引に結びつけ、変化の時を早めてくれる。</t>
  </si>
  <si>
    <t xml:space="preserve">item_005</t>
  </si>
  <si>
    <t xml:space="preserve">ヌメリヒラタケ</t>
  </si>
  <si>
    <t xml:space="preserve">腐った倒木に群生し、分解力が強い。</t>
  </si>
  <si>
    <t xml:space="preserve">常に纏っている灰色の粘液は、倒木を分解し尽くす強欲な生命力の表れだ。この粘液は、調合において「分離」の力を発揮する。薬液に含まれる不要な濁りや、素材が持つ雑多な魔力をこの粘液が絡め取り、純粋な成分だけを鮮やかに切り離してくれる。化粧品に使われるのは、その清浄なまでの分解力ゆえだろう。</t>
  </si>
  <si>
    <t xml:space="preserve">item_006</t>
  </si>
  <si>
    <t xml:space="preserve">ヤセボソシメジ</t>
  </si>
  <si>
    <t xml:space="preserve">針葉樹の根元にひっそりと生える。見た目に反して旨味が強く、出汁によく出る。</t>
  </si>
  <si>
    <t xml:space="preserve">針葉樹の影で今にも折れそうな姿をしているが、その身には驚くほどの「溶けやすさ」を秘めている。熱を加えた瞬間、形を失って薬液に溶け込み、周囲の素材の旨味と力を一つに束ね上げる。頑固で混ざり合わない素材同士を繋ぐその様子は、弱々しい見た目に反して、調合釜の中では誰よりも優れた「仲介役」となる。</t>
  </si>
  <si>
    <t xml:space="preserve">item_007</t>
  </si>
  <si>
    <t xml:space="preserve">ウロコモドキ</t>
  </si>
  <si>
    <t xml:space="preserve">傘の表面が魚の鱗のように硬質化したキノコ。すりつぶすと研磨剤のような粉になる。</t>
  </si>
  <si>
    <t xml:space="preserve">傘の表面を覆う魚の鱗は、石のように硬く、並の刃では傷一つつかない。しかし、これを根気よくすりつぶして粉末にすれば、液体を瞬時に「凝固」させる強力な固め剤となる。滴るような薬液を、持ち運びやすい丸薬や固形へと変容させる際、このキノコの持つ「守りの硬さ」が役立つのだ。</t>
  </si>
  <si>
    <t xml:space="preserve">item_008</t>
  </si>
  <si>
    <t xml:space="preserve">カビツキヌメリ</t>
  </si>
  <si>
    <t xml:space="preserve">他のキノコに寄生する白い菌。強い「発酵」を促す成分がある。</t>
  </si>
  <si>
    <t xml:space="preserve">他の菌を侵食し、その性質を根底から書き換えてしまう寄生菌。採取した後は、この白い菌が持つ恐るべき「浸透」の力だけを利用する。一緒に入れた素材の核にある力を強制的に引き出し、ベースとなる水へと移し替えてしまう。その力は、まるで他の素材の魂を水へと溶かし出すかのようだ。</t>
  </si>
  <si>
    <t xml:space="preserve">item_009</t>
  </si>
  <si>
    <t xml:space="preserve">スナボコリタケ</t>
  </si>
  <si>
    <t xml:space="preserve">乾燥した砂地に生える。衝撃を与えると細かい胞子（粉末）を噴き出す。</t>
  </si>
  <si>
    <t xml:space="preserve">衝撃を与えれば最後、このキノコは一瞬で胞子の煙へと化す。この「揮発」しやすさは、調合においても最大の難所となる。熱を加えすぎれば、丹精込めた薬効もすべて煙となって消えてしまうだろう。薬の力を空気へと逃がさないよう、調合の最後にそっと加える繊細な手捌きが求められる。</t>
  </si>
  <si>
    <t xml:space="preserve">item_010</t>
  </si>
  <si>
    <t xml:space="preserve">ベニテングダマシ</t>
  </si>
  <si>
    <t xml:space="preserve">毒キノコにそっくりだが毒はない。非常に苦く、「良薬口に苦し」を体現する。</t>
  </si>
  <si>
    <t xml:space="preserve">猛毒のベニテングタケを模したその姿は、自らを守るための嘘に過ぎない。実際には毒などなく、ただただ閉口するほどに苦い。しかし、その「良薬口に苦し」を地で行く強烈な苦味は、他の素材が持つ尖った毒性を打ち消す「中和」の力を秘めている。偽物が本物を制する、奇妙な調和をもたらすキノコだ。</t>
  </si>
  <si>
    <t xml:space="preserve">item_011</t>
  </si>
  <si>
    <t xml:space="preserve">クサリフフダケ</t>
  </si>
  <si>
    <t xml:space="preserve">腐肉の近くに生える独特の臭気を放つキノコ。解毒剤の反転素材として使われる。</t>
  </si>
  <si>
    <t xml:space="preserve">腐肉の傍らでその臭気を吸って育つこのキノコは、死の際にある素材を好む。通常、毒を消すために使われる素材だが、その本質は「反転」にある。清浄な薬液をあえて腐敗の淵へと追い込み、極限の状態で見せる「毒をもって毒を制する」という危うい解毒の道行へ、調合者を誘う。</t>
  </si>
  <si>
    <t xml:space="preserve">item_012</t>
  </si>
  <si>
    <t xml:space="preserve">ネバリイグチ</t>
  </si>
  <si>
    <t xml:space="preserve">松林の地中に埋まって生える。掘り起こすと強烈な粘り気があり、接合剤の役割を果たす。</t>
  </si>
  <si>
    <t xml:space="preserve">地中に隠れたその身を掘り起こせば、糸を引くような強烈な粘り気が手につく。この粘りこそが、バラバラな成分を繋ぎ止める「凝固」の源泉だ。熱を加えてもその粘りは失われず、接合剤として薬を一つにまとめ上げ、完成した薬の形を永く保つための楔となる。</t>
  </si>
  <si>
    <t xml:space="preserve">item_013</t>
  </si>
  <si>
    <t xml:space="preserve">シロガネタケ</t>
  </si>
  <si>
    <t xml:space="preserve">高山の岩肌にへばりつく白く乾いたキノコ。極寒に耐える性質（耐冷性）を持つ。</t>
  </si>
  <si>
    <t xml:space="preserve">高山の凍てつく岩肌で、白く乾いたまま時を止めている。極寒に耐えうるその性質は、採取後も失われない。調合液にこのシロガネタケを加えれば、その「保存」の力が熱による劣化を防ぎ、薬の鮮度を雪の中に閉じ込めたかのように瑞々しく保ってくれる。</t>
  </si>
  <si>
    <t xml:space="preserve">item_014</t>
  </si>
  <si>
    <t xml:space="preserve">ホウオウノハネ</t>
  </si>
  <si>
    <t xml:space="preserve">深紅と金色のグラデーションを持つ扇状のキノコ。煮出すと燃えるような熱を持つ。</t>
  </si>
  <si>
    <t xml:space="preserve">煮出すと、まるで鳳凰の羽ばたきのように、釜の中に燃えるような熱が広がる。このキノコ自体が激しい変化を促す「触媒」であり、本来は決して混ざり合うことのない水と油、あるいは対立する属性の素材を、熱の奔流によって強引に融和させてしまう。</t>
  </si>
  <si>
    <t xml:space="preserve">ユウヒダケ</t>
  </si>
  <si>
    <t xml:space="preserve">夕暮れ時にのみ赤く発光するキノコ。</t>
  </si>
  <si>
    <t xml:space="preserve">光を蓄える性質があり、乾燥させて粉にすると火を近づけずとも激しく反応する。それ自体が変化の火種となる「触媒」の性質を持ち、本来は混ざり合わない油と水のような素材を強引に反応させる力がある。</t>
  </si>
  <si>
    <t xml:space="preserve">item_015</t>
  </si>
  <si>
    <t xml:space="preserve">ミズギワソウ</t>
  </si>
  <si>
    <t xml:space="preserve">川の合流地点にのみ自生する。茎がストロー状で、不純物を濾過する性質がある。</t>
  </si>
  <si>
    <t xml:space="preserve">川の合流地点で、二つの異なる水流から魔力を選別して吸収している。ストロー状の茎は「不純な魔力」を濾過する天然のフィルターであり、調合液を通すことで、毒性や雑味だけを鮮やかに「分離」することができる。</t>
  </si>
  <si>
    <t xml:space="preserve">item_016</t>
  </si>
  <si>
    <t xml:space="preserve">イバラアザミ</t>
  </si>
  <si>
    <t xml:space="preserve">鋭いトゲを持つ野草。傷をたちどころに治すという伝説がある。</t>
  </si>
  <si>
    <t xml:space="preserve">鋭いトゲは魔を払う力を持つ。根に蓄えられた瑞々しい液は、生命力の奔流そのもの。切り口から滴る白い液は、傷口に触れると凝固して瞬時に傷を塞ぐ。内臓の傷をも癒やすという伝説は、止血効果によるもの。</t>
  </si>
  <si>
    <t xml:space="preserve">item_017</t>
  </si>
  <si>
    <t xml:space="preserve">カサカサ草</t>
  </si>
  <si>
    <t xml:space="preserve">一年中枯れたような茶褐色の葉を持つ。油分を多く含み、火種（着火材）に最適。</t>
  </si>
  <si>
    <t xml:space="preserve">乾ききった茶褐色の葉には、指で触れるだけで油がにじむ。この油こそが、調合における「揮発」の源泉だ。熱を加えた瞬間、葉は白い煙となって一息に気化し、混ぜ合わせた素材の成分を空気へと引き連れていく。気体薬や燻し薬を作る際の着火剤として、調合者たちが重宝する草だ。</t>
  </si>
  <si>
    <t xml:space="preserve">item_018</t>
  </si>
  <si>
    <t xml:space="preserve">オオツユグサ</t>
  </si>
  <si>
    <t xml:space="preserve">早朝、葉の縁に大きな雫を溜める性質がある。水が貴重な場所での水源。</t>
  </si>
  <si>
    <t xml:space="preserve">夜明け前、葉の縁にぷるりと膨らむ大粒の雫は、一日のうちで最も静謐な時間を閉じ込めている。この雫を集めて薬液に加えれば、昂った成分の動きを宥め、ゆっくりと「凝固」させる穏やかな力を発揮する。荒ぶる素材を落ち着かせ、一つの形にまとめる、夜明けの静けさを纏った草だ。</t>
  </si>
  <si>
    <t xml:space="preserve">item_019</t>
  </si>
  <si>
    <t xml:space="preserve">ニガヨモギモドキ</t>
  </si>
  <si>
    <t xml:space="preserve">非常に香りが強く、虫除けに使われる。乾燥させて煎じると腹痛に効く。</t>
  </si>
  <si>
    <t xml:space="preserve">その強烈な香気は、触れるものすべての奥深くへと染み入っていく。煎じれば腹の底まで温もりが「浸透」し、痛みの根を解きほぐす。虫すら寄せ付けぬその気を薬液に宿すことで、塗り薬や吸引薬の効果を皮の奥まで届ける媒介となる。刺激的な香りの裏に、静かで深い癒しの力を持つ草だ。</t>
  </si>
  <si>
    <t xml:space="preserve">item_020</t>
  </si>
  <si>
    <t xml:space="preserve">イワノボリツル</t>
  </si>
  <si>
    <t xml:space="preserve">岩壁を這うように伸びる強靭なツル。繊維が丈夫で、煮出すと丈夫な紐になる。</t>
  </si>
  <si>
    <t xml:space="preserve">岩の割れ目に爪を立てるようにして這い上がるその繊維は、引いても切れず、曲げても折れない。調合釜に投じれば、ばらばらに漂う成分を繊維で絡め取るように「凝固」させ、頑丈な薬の形を作り上げる。その丈夫さが体を守る「防護」の薬効へと転じ、傷口や患部を外の脅威から遮断する盾となる。</t>
  </si>
  <si>
    <t xml:space="preserve">item_021</t>
  </si>
  <si>
    <t xml:space="preserve">ツボミカズラ</t>
  </si>
  <si>
    <t xml:space="preserve">花が開かず、蕾のまま結実する珍しい植物。栄養が凝縮されている。</t>
  </si>
  <si>
    <t xml:space="preserve">花開くことを拒み、すべての栄養を蕾の中に凝縮させたまま結実する蔓植物。その内に秘められた強烈な生命力は、調合において「保存 」の気質として現れる。完成した薬の中に、この蕾に閉じ込められた「時」を分け与えることで、薬効が腐敗するのを防ぎ、長きにわたってその力を維持させる 。</t>
  </si>
  <si>
    <t xml:space="preserve">item_022</t>
  </si>
  <si>
    <t xml:space="preserve">ハッカガヤ</t>
  </si>
  <si>
    <t xml:space="preserve">踏むと爽やかな香りが広がる草原の草。清涼感があり、熱を冷ます効果がある。</t>
  </si>
  <si>
    <t xml:space="preserve">踏みしめるたびに清涼な香気が立ち上るこの草は、冷たさを肌の奥へと送り込む力を持つ。その香りを薬液に移せば、「浸透」の気質として表れ、熱を帯びた患部の深部まで癒しの冷気を届ける。熱病や炎症を和らげる薬において、効果を体の芯まで届ける道案内の役を担う。</t>
  </si>
  <si>
    <t xml:space="preserve">item_023</t>
  </si>
  <si>
    <t xml:space="preserve">ネバリダイコン</t>
  </si>
  <si>
    <t xml:space="preserve">砂地に深く刺さった細長い根。水分を蓄える力が強く、保湿剤の原料になる。</t>
  </si>
  <si>
    <t xml:space="preserve">砂漠の乾燥に抗い、砂の奥深くに水分を抱えたまま生き延びるこの根は、強靭な生命力の塊だ。調合液に加えれば、その「保存」の力が薬液全体に行き渡り、他の素材が揮発したり腐敗するのを防ぐ。同時に凝縮された滋養が「滋養強壮」として肉体の疲弊を回復させる、砂漠の恵みだ。</t>
  </si>
  <si>
    <t xml:space="preserve">item_024</t>
  </si>
  <si>
    <t xml:space="preserve">ミツユキソウ</t>
  </si>
  <si>
    <t xml:space="preserve">雪解けのわずかな期間にのみ姿を現す白い花。</t>
  </si>
  <si>
    <t xml:space="preserve">雪解けの一瞬だけ顔を出し、また雪の下へと戻っていくこの花は、時間そのものを凝らせたような白さをしている。摘み取った瞬間から時が止まるかのようにその姿を保ち、調合液の中でも「保存」の力として働き、薬の劣化を長く拒む。その稀少な咲き方が宿す不思議な力は、魔力回路を一時的に開く「神秘」の薬効をもたらす。</t>
  </si>
  <si>
    <t xml:space="preserve">item_025</t>
  </si>
  <si>
    <t xml:space="preserve">リュウノツノ</t>
  </si>
  <si>
    <t xml:space="preserve">砂漠の岩場に突き出た、ねじれた硬い枝。バラバラな成分を固める性質がある。</t>
  </si>
  <si>
    <t xml:space="preserve">砂漠の過酷な乾燥に耐え、石のようにねじ曲がったその枝は、バラバラな属性を一つに束ねる「凝固」の力を象徴している。この硬い枝を砕いて投じれば、水に溶け出そうとする不安定な成分を物理的に絡め取り、一つの安定した霊薬へと形を成さしめる。</t>
  </si>
  <si>
    <t xml:space="preserve">item_026</t>
  </si>
  <si>
    <t xml:space="preserve">オロチノイバラ</t>
  </si>
  <si>
    <t xml:space="preserve">八方にうねるように伸びる猛毒の蔓。硬い素材を溶かして分解するという。</t>
  </si>
  <si>
    <t xml:space="preserve">八方にのたうつ猛毒の蔓は、獲物を締め上げるのではなく「溶かして喰らう」ためのものだ。調合においても、その破壊的な「分離」の力は健在である。どんなに硬い鉱石であっても、この蔓と共に煮れば成分が解きほぐされ、必要な力だけを抽出することができる。</t>
  </si>
  <si>
    <t xml:space="preserve">item_027</t>
  </si>
  <si>
    <t xml:space="preserve">青泥石</t>
  </si>
  <si>
    <t xml:space="preserve">底なし沼の深くから採れる、青みがかった粘土質の石。熱を逃がさない。</t>
  </si>
  <si>
    <t xml:space="preserve">底なし沼の深みで、長い年月をかけて熱を溜め込んだ青みがかった粘土は、触れると不思議な温もりを持つ。この熱を手放さない性質が調合において「保存」の力として現れ、完成した薬の温かさと効能を逃がさず閉じ込める。また、その深く静かな粘土の重さは昂った気を沈め、「鎮静」の薬効として作用する。</t>
  </si>
  <si>
    <t xml:space="preserve">item_028</t>
  </si>
  <si>
    <t xml:space="preserve">火打ち斑岩</t>
  </si>
  <si>
    <t xml:space="preserve">鉄分を多く含んだ黒い石。叩くと火花が出やすく、加工が難しい。</t>
  </si>
  <si>
    <t xml:space="preserve">叩けば容赦なく火花を散らすこの黒い石は、そのままでは調合者の手を焦がす厄介者だ。しかし、この爆発的な反応こそが「揮発」の源泉となる。薬液に加えた瞬間、溶け出した鉄分が熱との触媒となり、成分を一気に気化させる。その烈しい弾けるような力が「興奮」の薬効として、摂取者の血を沸き立たせる。</t>
  </si>
  <si>
    <t xml:space="preserve">item_029</t>
  </si>
  <si>
    <t xml:space="preserve">白砂晶</t>
  </si>
  <si>
    <t xml:space="preserve">砂漠の砂が固まってできた脆い結晶。水に溶けやすく、溶媒の性質を変える。</t>
  </si>
  <si>
    <t xml:space="preserve">砂漠の砂が幾千年もかけて圧縮されたこの脆い結晶は、水に触れるや否や音もなく溶け消える。その溶けやすさは「分離」の力として現れ、薬液の中に潜む有害な成分だけを自ら引き受けて溶かし込み、無害な物質として流し去る。静かに消えていく様子は、毒を呑んで逝くようでもある。</t>
  </si>
  <si>
    <t xml:space="preserve">item_030</t>
  </si>
  <si>
    <t xml:space="preserve">黄土塊</t>
  </si>
  <si>
    <t xml:space="preserve">栄養豊富な土壌が固まったもの。肥料の主原料や、土属性の触媒になる。</t>
  </si>
  <si>
    <t xml:space="preserve">肥沃な大地の恵みが固まったこの塊は、土の記憶そのものだ。調合釜に投じれば、大地が草木を育てるように、周囲の素材の反応を活性化させる「触媒」として働く。豊富なミネラルと生命の養分は「滋養強壮」の薬効として肉体を内側から満たし、枯れかけた力を土が芽吹きを促すように引き出す。</t>
  </si>
  <si>
    <t xml:space="preserve">item_031</t>
  </si>
  <si>
    <t xml:space="preserve">墨痕石</t>
  </si>
  <si>
    <t xml:space="preserve">触ると手が黒くなる、炭に近い鉱石。不純物を吸着する性質がある。</t>
  </si>
  <si>
    <t xml:space="preserve">触れた端から黒い汚れを残すこの石は、世界の汚れを自ら引き受ける性質を持つ。不純物を吸着し、透明な水へと変えるその「分離」の力は、毒を濾し取るための「解毒」工程において、他のどの素材よりも信頼のおけるフィルターとなるだろう。</t>
  </si>
  <si>
    <t xml:space="preserve">item_032</t>
  </si>
  <si>
    <t xml:space="preserve">氷晶石モドキ</t>
  </si>
  <si>
    <t xml:space="preserve">常にひんやりとしている、半透明の石。地下深くの冷気が溜まる場所に存在する。</t>
  </si>
  <si>
    <t xml:space="preserve">地の底の凍った闇の中で、永い眠りにつくように時を過ごしてきた半透明の石。その芯に宿る冷気は採取後も失われず、薬液の温度を緩やかに下げ続ける。熱による劣化を防ぐ「保存」の力として、薬の鮮度を封じ込める。触れるだけで昂ぶりが静まるような冷たさは、「鎮静」の薬効として精神の熱を和らげる。</t>
  </si>
  <si>
    <t xml:space="preserve">item_033</t>
  </si>
  <si>
    <t xml:space="preserve">錆び鉄鉱</t>
  </si>
  <si>
    <t xml:space="preserve">酸化が進んだ鉄の塊。煮出すと染料や特殊な反応剤になる。</t>
  </si>
  <si>
    <t xml:space="preserve">長い年月をかけて酸化し、表面が深い赤褐色に染まったこの鉄の塊は、すでに変化を終えた素材だ。煮出せば澄んだ赤い汁が滲み出し、「触媒」として他の素材の反応を引き出す媒介となる。自身はもはや変化せず、周囲の成分を「安定」した反応へと導く、静かな存在だ。</t>
  </si>
  <si>
    <t xml:space="preserve">item_034</t>
  </si>
  <si>
    <t xml:space="preserve">雲母片岩</t>
  </si>
  <si>
    <t xml:space="preserve">薄く剥がれやすい性質を持つ石。耐熱性が高く、調合釜のライナーに使われる。</t>
  </si>
  <si>
    <t xml:space="preserve">爪の先でそっと触れれば、紙のように薄い層が次々と剥がれていく。しかしその一枚一枚は、調合釜の熱すら通さない頑強な盾だ。薬液に溶かせば、鎧のように他の成分を包み込んで「保存」し、外部の熱や湿気から守り抜く。飲み込んだ体の内側でも膜を張り、属性ダメージを遮断する「防護」として働く。</t>
  </si>
  <si>
    <t xml:space="preserve">item_035</t>
  </si>
  <si>
    <t xml:space="preserve">潮石</t>
  </si>
  <si>
    <t xml:space="preserve">昔、海だった場所が隆起してできた岩塩の一種。ミネラル分が極めて高い。</t>
  </si>
  <si>
    <t xml:space="preserve">かつて海の底だったこの場所に積もった塩の記憶が、長い年月をかけて石となった。舐めれば古い海のすべての滋養が舌に広がり、その豊富なミネラルが「滋養強壮」の薬効として肉体の隅々まで染み渡る。水に溶かせば塩が自然と素材に食い込む「浸透」の力となり、他の薬効を体の深くへと届ける塩の道となる。</t>
  </si>
  <si>
    <t xml:space="preserve">item_036</t>
  </si>
  <si>
    <t xml:space="preserve">鈍色金</t>
  </si>
  <si>
    <t xml:space="preserve">金属光沢はあるが、非常に重く加工しにくい未精製の鉱石。</t>
  </si>
  <si>
    <t xml:space="preserve">鈍く重い光沢を放つこの鉱石は、採掘者の工具を次々と折り、精製を拒む頑固者だ。しかし砕いて粉末にし薬液に加えると、その重さが沈殿し他の浮遊する成分を引き寄せて「凝固」させる。ぶれることなく底に居座るその安定感は、薬全体の成分を落ち着かせる「安定」の薬効として、不安定な調合を地に足のついたものへと変える。</t>
  </si>
  <si>
    <t xml:space="preserve">item_037</t>
  </si>
  <si>
    <t xml:space="preserve">キリンノナミダ</t>
  </si>
  <si>
    <t xml:space="preserve">虹色の光沢を持つ珍しい樹脂の化石。毒性を打ち消す浄化の性質を持つ。</t>
  </si>
  <si>
    <t xml:space="preserve">伝説の獣が流した涙が固まったという、虹色の化石。その輝きは、万物の毒性を浄化する至高の「中和」の力を宿している。どれほど危険な素材を組み合わせたとしても、この石を最後に一粒加えるだけで、禍々しい反応は凪ぎ、清らかな聖薬へと生まれ変わる。</t>
  </si>
  <si>
    <t xml:space="preserve">item_038</t>
  </si>
  <si>
    <t xml:space="preserve">鍾乳洞の滴り</t>
  </si>
  <si>
    <t xml:space="preserve">岩の滴りが集まった水。バラバラな素材を一つに結び安定させる「凝固」の気質を持つ。</t>
  </si>
  <si>
    <t xml:space="preserve">岩の隙間を幾年もかけて滲み落ちてきた滴は、石の記憶をすべて溶かし込んでいる。この水が薬液に加わると、浮遊する粒子をゆっくりと引き寄せ、ひとつに「凝固」させる。荒ぶる成分を宥め、静かに形を固める。石が時間をかけて鍾乳石を作るように、この水は薬に揺るぎない輪郭を与える。</t>
  </si>
  <si>
    <t xml:space="preserve">item_039</t>
  </si>
  <si>
    <t xml:space="preserve">雨溜まりの泥水</t>
  </si>
  <si>
    <t xml:space="preserve">地上の雑多な気が混じった水。素材をわざと腐らせたり発酵を早めたりする際に用いられる。</t>
  </si>
  <si>
    <t xml:space="preserve">地面に落ちた雨が、土の臭い、草の腐れ、虫の残り香を吸い込んで溜まった水だ。清浄とはほど遠いが、それこそがこの水の本領である。調合釜に加えれば、どんな素材をも緩やかな腐敗へと引き込み、発酵を促す触媒となる。毒も薬も紙一重。この水が腐らせる力こそが、変質の入口だ。</t>
  </si>
  <si>
    <t xml:space="preserve">item_040</t>
  </si>
  <si>
    <t xml:space="preserve">草木の朝露</t>
  </si>
  <si>
    <t xml:space="preserve">天から降り汚れを知らない清らかな水。草木の繊細な薬効をそのまま吸い出す力を持つ。</t>
  </si>
  <si>
    <t xml:space="preserve">夜明け前、草木の葉が天の清気を受けて結んだ露。一粒として濁りを知らぬその水は、素材が持つ本来の力を丸ごと「浸透」させて吸い出す。添加物も雑味も混じらず、ただ純粋に薬効だけを引き出す。繊細な花弁や希少な根から力を損なわず引き出したいとき、調合者がまず手に取る水だ。</t>
  </si>
  <si>
    <t xml:space="preserve">item_041</t>
  </si>
  <si>
    <t xml:space="preserve">鉄渋の湧き水</t>
  </si>
  <si>
    <t xml:space="preserve">大地の血が混じったような重く渋い水。色や効能を素材に深く刻み込み定着させる性質がある。</t>
  </si>
  <si>
    <t xml:space="preserve">大地の鉄分が血のように溶け込んだ重く渋い水。口に含めば、舌に鈍い鉄の味が長く残る。この定着力こそが調合における「保存」の源だ。薬液に加えれば、素材が持つ色と効能を深く刻み込み、完成した薬の力が容易に褪せないよう大地の重さで封じ込める。</t>
  </si>
  <si>
    <t xml:space="preserve">item_042</t>
  </si>
  <si>
    <t xml:space="preserve">雪解けの走り水</t>
  </si>
  <si>
    <t xml:space="preserve">冬の眠りから覚めたばかりの勢いのある水。乾燥して眠った素材に一時的な活力を吹き込む。</t>
  </si>
  <si>
    <t xml:space="preserve">雪が解けて地表を走り始めたばかりの水は、冬の眠りを破った勢いをそのまま宿している。乾燥して力を失いかけた素材に加えれば、その奔流が眠った成分を目覚めさせ、反応をわずかに活性化させる。長くは続かない一時の高揚だが、調合の起点を作る呼び水として侮れない。</t>
  </si>
  <si>
    <t xml:space="preserve">item_043</t>
  </si>
  <si>
    <t xml:space="preserve">古井戸の溜まり水</t>
  </si>
  <si>
    <t xml:space="preserve">光を拒み静寂を湛えた深い水。調合した薬が変質しないようその瞬間の効能を封じ込める。</t>
  </si>
  <si>
    <t xml:space="preserve">光も届かず、音すら吸い込む古い井戸の底に溜まった水。何も変えず、何も動かさず、ただ静かに在り続けてきた。その静寂が調合における「保存」の力となる。薬液に一滴加えるだけで、時の流れそのものを緩やかにするかのように、完成した薬の効能を長くその瞬間のまま封じ込める。</t>
  </si>
  <si>
    <t xml:space="preserve">item_044</t>
  </si>
  <si>
    <t xml:space="preserve">灰から取った灰汁</t>
  </si>
  <si>
    <t xml:space="preserve">火の残滓（灰）を通した水。頑固な皮や硬い根の結びつきを解き柔らかく解きほぐす。</t>
  </si>
  <si>
    <t xml:space="preserve">灰を通して濾された強アルカリの水は、触れるものの結びつきを緩め、硬い皮も頑固な根も柔らかく解きほぐす。この「浸透」の力が調合において真価を発揮する。本来は素材の奥深くへ届かない他の成分を、この灰汁が道を切り拓き、奥底まで染み渡らせる。火の残滓が生む、静かな解放の水だ。</t>
  </si>
  <si>
    <t xml:space="preserve">item_045</t>
  </si>
  <si>
    <t xml:space="preserve">地熱帯の硫黄水</t>
  </si>
  <si>
    <t xml:space="preserve">大地の熱を孕んで湧き出す鼻を突く水。火を止めた後も薬の中に温かな熱を留め続ける。</t>
  </si>
  <si>
    <t xml:space="preserve">硫黄の臭いとともに大地の熱を帯びて湧き出すこの水は、火を止めた後も釜の中に温もりを宿し続ける。その持続する熱が調合において固有の働きをする。他の素材が揮発しないよう抑えながら、薬液全体に均一な熱を長く保ち、仕上がりに芯からの温かさを与える。</t>
  </si>
  <si>
    <t xml:space="preserve">item_046</t>
  </si>
  <si>
    <t xml:space="preserve">樹皮を伝う雨水</t>
  </si>
  <si>
    <t xml:space="preserve">森の吐息を吸い込んだわずかに粘りある水。本来混じり合わない粉末同士を繋ぎ合わせる。</t>
  </si>
  <si>
    <t xml:space="preserve">雨が木の幹を伝い落ちる間に、樹皮の樹脂と苔の湿気を吸い込んだわずかに粘りある水。その粘性が「凝固」の源となる。本来は互いを弾く粉末同士を包み込むように繋ぎ合わせ、ひとつの薬の形へとまとめ上げる。森が雨を受け止めるように、この水は成分を静かに抱きまとめる。</t>
  </si>
  <si>
    <t xml:space="preserve">item_047</t>
  </si>
  <si>
    <t xml:space="preserve">深層の塩水</t>
  </si>
  <si>
    <t xml:space="preserve">遥か古の海が地底に閉じ込められたもの。素材の奥底に眠る成分を表へと引きずり出す。</t>
  </si>
  <si>
    <t xml:space="preserve">太古の海が地殻変動で閉じ込められ、濃縮され続けた塩水。その高い塩分濃度が浸透圧として働き、素材の奥底に眠る成分を強引に表面へと引きずり出す。どれほど不溶性の成分でも、この古い海の引力には抗えない。必要な力だけを抽出したいとき、深層の塩水は最も頼れる「分離」の器だ。</t>
  </si>
  <si>
    <t xml:space="preserve">蒸留水</t>
  </si>
  <si>
    <t xml:space="preserve">純化水</t>
  </si>
  <si>
    <t xml:space="preserve">超純水</t>
  </si>
  <si>
    <t xml:space="preserve">item_048</t>
  </si>
  <si>
    <t xml:space="preserve">カミソリウオの鱗</t>
  </si>
  <si>
    <t xml:space="preserve">カミソリのように鋭いエラを持つ小魚の鱗。劇薬の触媒に使われる。</t>
  </si>
  <si>
    <t xml:space="preserve">カミソリのように薄く鋭い鱗は、指先をわずかに触れただけでも切れる。その切れ味が調合において「触媒」の力として現れる。他の成分が互いを傷つけることなく反応するよう、この鱗が境界を整え、混ざり合いを促進する。刃が素材を切り分けるように、この鱗は反応の障壁を断ち切る。</t>
  </si>
  <si>
    <t xml:space="preserve">item_049</t>
  </si>
  <si>
    <t xml:space="preserve">トゲネズミの抜け殻</t>
  </si>
  <si>
    <t xml:space="preserve">興奮すると針を飛ばすネズミの皮。目覚め薬や気付け薬の調合に使われる。</t>
  </si>
  <si>
    <t xml:space="preserve">興奮が頂点に達すると全身の針を弾き飛ばすというネズミの、その張り詰めた抜け殻。一触即発の緊張感は採取後も宿っており、調合液に加えると成分を「興奮」状態へと引き込む。使う側が感じる一時的な高揚と覚醒は、この皮が最後まで手放さなかった野生の張力から来るものだ。</t>
  </si>
  <si>
    <t xml:space="preserve">item_050</t>
  </si>
  <si>
    <t xml:space="preserve">ミズススリの浮き袋</t>
  </si>
  <si>
    <t xml:space="preserve">水面を滑るように走る虫の器官。非常に軽く、「風」の気質を付与する。</t>
  </si>
  <si>
    <t xml:space="preserve">水の上を走る虫が浮力を保つためだけに持つこの器官は、空気よりも軽い何かを内包している。調合に加えると、成分が液体から気体へと移行する「揮発」を著しく加速させる。気体薬や霧吹き薬を作るとき、この浮き袋の軽さが成分を空中へと解き放つ、見えない翼となる。</t>
  </si>
  <si>
    <t xml:space="preserve">item_051</t>
  </si>
  <si>
    <t xml:space="preserve">粘りツチガエルの粘液</t>
  </si>
  <si>
    <t xml:space="preserve">触れると糸を引くほど粘るカエルの分泌物。揮発しやすい成分を「留める」定着剤。</t>
  </si>
  <si>
    <t xml:space="preserve">採取した指の間で糸を引くほどの粘りは、乾かそうとしても乾かず、熱を加えても流れない。この執拗な粘りが調合における「保存」の要となる。揮発しやすい成分をこの粘液が絡め取り、薬の形が崩れないよう長く留め続ける。飛び去ろうとする力を、泥のような粘りが静かに引き止める。</t>
  </si>
  <si>
    <t xml:space="preserve">item_052</t>
  </si>
  <si>
    <t xml:space="preserve">ハバタキ蛾の粉末</t>
  </si>
  <si>
    <t xml:space="preserve">夜に高速で羽ばたく蛾の羽の粉。摩擦熱を呼びやすく、「火」属性の熱を増幅させる。</t>
  </si>
  <si>
    <t xml:space="preserve">夜ごと高速で羽ばたき続ける蛾の羽が削れ、摩擦で帯電した粉末。指で触れると微かな熱を感じる。この摩擦熱を呼ぶ性質が「触媒」として機能し、調合において他の素材の反応を底から熱し、変化を急かす。暗闇の中で炎を求めるように、この粉末は化学反応の炎に油を注ぐ。</t>
  </si>
  <si>
    <t xml:space="preserve">item_053</t>
  </si>
  <si>
    <t xml:space="preserve">ガンセキガメの甲羅破片</t>
  </si>
  <si>
    <t xml:space="preserve">岩に擬態するほど硬い亀の甲羅。磨り潰すと液体の沈殿を早める効果がある。</t>
  </si>
  <si>
    <t xml:space="preserve">岩そのものにしか見えない甲羅の破片は、磨り潰すと比重の重い微細な粉となる。この粉が薬液に加わると、沈殿を早める錨のように働き、不純な成分を速やかに底へと引き落として「分離」させる。上澄みだけを取り出す工程において、この亀の硬さは最も誠実な助手だ。</t>
  </si>
  <si>
    <t xml:space="preserve">item_054</t>
  </si>
  <si>
    <t xml:space="preserve">ツギハギヘビの抜け殻</t>
  </si>
  <si>
    <t xml:space="preserve">場所によって模様がバラバラな蛇。素材同士の相性を無理やり「繋ぐ」潤滑剤。</t>
  </si>
  <si>
    <t xml:space="preserve">生まれた環境ごとに色が変わるという蛇が脱いだ抜け殻は、継ぎ接ぎのように模様がバラバラだ。しかし、その不均一さが調合の「凝固」において独自の力を発揮する。本来は反発し合う素材同士を、この皮の継ぎ接ぎの柔軟さが無理やり繋ぎ止め、ひとつの形に押し込める潤滑剤となる。</t>
  </si>
  <si>
    <t xml:space="preserve">item_055</t>
  </si>
  <si>
    <t xml:space="preserve">ホタルコウモリの牙</t>
  </si>
  <si>
    <t xml:space="preserve">微かに光る超音波を出すコウモリの牙。神経を研ぎ澄ます薬に使う。</t>
  </si>
  <si>
    <t xml:space="preserve">夜空を飛びながら超音波を放ち、世界の輪郭を音で描くコウモリの牙。微かに発光するその牙は、採取後も光を宿している。調合に加えると、見えない周波数が薬液に波紋を広げるように「神秘」の薬効として現れ、摂取者の神経を研ぎ澄まし、普段は届かぬ感覚の領域へと扉を開く。</t>
  </si>
  <si>
    <t xml:space="preserve">item_056</t>
  </si>
  <si>
    <t xml:space="preserve">ケムリイタチの毛束</t>
  </si>
  <si>
    <t xml:space="preserve">怒ると体から煙を吹くイタチの毛。「蒸す」工程の効果を長く保つ性質がある。</t>
  </si>
  <si>
    <t xml:space="preserve">怒りが頂点に達すると体中から白い煙を噴き出すイタチの毛は、熱を蓄える特殊な構造を持つ。「蒸す」工程でこの毛束を加えると、生じた蒸気が素材に深く浸透した後も長く留まり続ける「保存」の効果をもたらす。怒りの白煙が晴れた後に残るように、この毛の熱は薬の中に静かに宿り続ける。</t>
  </si>
  <si>
    <t xml:space="preserve">item_057</t>
  </si>
  <si>
    <t xml:space="preserve">オオミミウサギの乾き耳</t>
  </si>
  <si>
    <t xml:space="preserve">音に敏感すぎるウサギの耳を乾燥させたもの。感覚を鋭敏にする調合に。</t>
  </si>
  <si>
    <t xml:space="preserve">あらゆる音を聞き取りすぎるゆえに正気を保てず、最終的には自ら耳を地面に押しつけて死ぬという伝説を持つウサギの耳。乾燥させるとその過敏さが凝縮される。調合に加えると、摂取者の感覚をわずかな刺激にも応じるほど鋭敏にする「神秘」の薬効として現れる。世界の微細な囁きが、突然届き始めるだろう。</t>
  </si>
  <si>
    <t xml:space="preserve">item_058</t>
  </si>
  <si>
    <t xml:space="preserve">サボテンドラゴンの鱗</t>
  </si>
  <si>
    <t xml:space="preserve">サボテンのトゲをバリバリ食べる大型トカゲの鱗。乾燥工程での変質を防ぐ。</t>
  </si>
  <si>
    <t xml:space="preserve">サボテンのトゲを噛み砕き、砂漠の熱気の中を平然と歩くトカゲの鱗は、極端な乾燥に晒されても変質しない。この耐乾性が調合において「保存」として働き、乾燥工程で素材が劣化したり収縮するのを防ぐ。過酷な環境でも姿を変えないこのトカゲのように、薬の品質をそのまま守り抜く。</t>
  </si>
  <si>
    <t xml:space="preserve">item_059</t>
  </si>
  <si>
    <t xml:space="preserve">水質素材を蒸留して得た、不純物のない水。あらゆる調合の基準となる溶媒。</t>
  </si>
  <si>
    <t xml:space="preserve">中間素材。ほぼ全ての上位調合の土台になる。まずこれを安定して作れるようになることが第一歩。</t>
  </si>
  <si>
    <t xml:space="preserve">調合</t>
  </si>
  <si>
    <t xml:space="preserve">液体</t>
  </si>
  <si>
    <t xml:space="preserve">item_060</t>
  </si>
  <si>
    <t xml:space="preserve">蒸留水からさらに雑味を切り離した水。薬効の輪郭がはっきりする。</t>
  </si>
  <si>
    <t xml:space="preserve">中間素材。分離特性の素材を溶かし込むことで、蒸留では取り切れない濁りが沈む。</t>
  </si>
  <si>
    <t xml:space="preserve">item_061</t>
  </si>
  <si>
    <t xml:space="preserve">二重の浄化を経た究極の水。何も含まないがゆえに、あらゆる力をよく受け入れる。</t>
  </si>
  <si>
    <t xml:space="preserve">中間素材（上位）。秘薬級の調合はほぼ全てこれを土台とする。作るのに手間がかかる。</t>
  </si>
  <si>
    <t xml:space="preserve">item_062</t>
  </si>
  <si>
    <t xml:space="preserve">凝固薬</t>
  </si>
  <si>
    <t xml:space="preserve">液体を固形へと変える基本の固め剤。丸薬や膏薬の土台になる。</t>
  </si>
  <si>
    <t xml:space="preserve">中間素材。持ち運べる形の薬を作るなら必ず要る。</t>
  </si>
  <si>
    <t xml:space="preserve">item_063</t>
  </si>
  <si>
    <t xml:space="preserve">浸透溶媒</t>
  </si>
  <si>
    <t xml:space="preserve">成分を身体の深くまで運ぶ溶媒。効き目の速さを決める。</t>
  </si>
  <si>
    <t xml:space="preserve">中間素材。同じ薬効でもこれを使うと効きが早い。</t>
  </si>
  <si>
    <t xml:space="preserve">item_064</t>
  </si>
  <si>
    <t xml:space="preserve">強発酵液</t>
  </si>
  <si>
    <t xml:space="preserve">泥水と菌類から生まれた濁った液。旺盛な発酵力を持つ。</t>
  </si>
  <si>
    <t xml:space="preserve">中間素材。酒精づくりの起点。匂いは強烈だが力は本物。</t>
  </si>
  <si>
    <t xml:space="preserve">item_065</t>
  </si>
  <si>
    <t xml:space="preserve">保存溶液</t>
  </si>
  <si>
    <t xml:space="preserve">素材の鮮度を長く保つ液。遠征前の仕込みに欠かせない。</t>
  </si>
  <si>
    <t xml:space="preserve">中間素材。鮮度の落ちやすい素材を扱うなら先に用意しておきたい。</t>
  </si>
  <si>
    <t xml:space="preserve">item_066</t>
  </si>
  <si>
    <t xml:space="preserve">促進触媒</t>
  </si>
  <si>
    <t xml:space="preserve">反応の遅い素材同士を強引に結びつける、調合師の切り札。</t>
  </si>
  <si>
    <t xml:space="preserve">中間素材（上位）。これがあると本来成立しない組み合わせが成立する。</t>
  </si>
  <si>
    <t xml:space="preserve">固形</t>
  </si>
  <si>
    <t xml:space="preserve">item_067</t>
  </si>
  <si>
    <t xml:space="preserve">冷却晶</t>
  </si>
  <si>
    <t xml:space="preserve">氷晶石モドキに水を纏わせ結晶化させたもの。融けずに冷気を保ち続ける。</t>
  </si>
  <si>
    <t xml:space="preserve">中間素材。熱を扱う調合の相方。そのまま懐に入れても冷たい。</t>
  </si>
  <si>
    <t xml:space="preserve">item_068</t>
  </si>
  <si>
    <t xml:space="preserve">木灰</t>
  </si>
  <si>
    <t xml:space="preserve">植物を焼いて得た灰。灰汁の原料であり、脂を分ける力を持つ。</t>
  </si>
  <si>
    <t xml:space="preserve">中間素材。最も安く手に入る加工品。侮れない使い道が多い。</t>
  </si>
  <si>
    <t xml:space="preserve">粉末</t>
  </si>
  <si>
    <t xml:space="preserve">item_069</t>
  </si>
  <si>
    <t xml:space="preserve">鉱石粉</t>
  </si>
  <si>
    <t xml:space="preserve">鉱物を挽いた細かな粉。粉薬の担体や研磨に使う。</t>
  </si>
  <si>
    <t xml:space="preserve">中間素材。それ自体に薬効はないが、粉薬の「かさ」として要る。</t>
  </si>
  <si>
    <t xml:space="preserve">item_070</t>
  </si>
  <si>
    <t xml:space="preserve">薬草粉</t>
  </si>
  <si>
    <t xml:space="preserve">治癒の草を乾かして挽いた粉。傷にも飲用にも使える万能の基剤。</t>
  </si>
  <si>
    <t xml:space="preserve">中間素材。乾燥させてから挽くのが要点。生のまま挽くと効き目が落ちる。</t>
  </si>
  <si>
    <t xml:space="preserve">item_071</t>
  </si>
  <si>
    <t xml:space="preserve">骨炭</t>
  </si>
  <si>
    <t xml:space="preserve">獣の骨や殻を焼いた黒い炭。色と臭いを吸い取る。</t>
  </si>
  <si>
    <t xml:space="preserve">中間素材。毒や臭みを抜く工程で使う。</t>
  </si>
  <si>
    <t xml:space="preserve">item_072</t>
  </si>
  <si>
    <t xml:space="preserve">精製塩</t>
  </si>
  <si>
    <t xml:space="preserve">深層の塩水を干して得た白い結晶。保存の要。</t>
  </si>
  <si>
    <t xml:space="preserve">中間素材。塩水を煮るのではなく干すこと。煮ると苦味が残る。</t>
  </si>
  <si>
    <t xml:space="preserve">item_073</t>
  </si>
  <si>
    <t xml:space="preserve">硫黄華</t>
  </si>
  <si>
    <t xml:space="preserve">硫黄水を蒸留して得た黄色い粉。燃やすと刺激臭のある煙になる。</t>
  </si>
  <si>
    <t xml:space="preserve">中間素材。虫除けと耐火の両方に使える。扱いには換気を。</t>
  </si>
  <si>
    <t xml:space="preserve">item_074</t>
  </si>
  <si>
    <t xml:space="preserve">鉄粉</t>
  </si>
  <si>
    <t xml:space="preserve">錆び鉄鉱を挽いた粉。薬に重さと安定をもたらす。</t>
  </si>
  <si>
    <t xml:space="preserve">中間素材。効き目を長持ちさせたい時に少量混ぜる。</t>
  </si>
  <si>
    <t xml:space="preserve">item_075</t>
  </si>
  <si>
    <t xml:space="preserve">麹</t>
  </si>
  <si>
    <t xml:space="preserve">菌類を寝かせて育てた発酵の種。酒精づくりの起点。</t>
  </si>
  <si>
    <t xml:space="preserve">中間素材。菌類なら何でも種になるが、種類で仕上がりの癖が変わるらしい。</t>
  </si>
  <si>
    <t xml:space="preserve">item_076</t>
  </si>
  <si>
    <t xml:space="preserve">灰汁液</t>
  </si>
  <si>
    <t xml:space="preserve">木灰を煮出した強いアルカリ液。脂を溶かし、汚れを断つ。</t>
  </si>
  <si>
    <t xml:space="preserve">中間素材。素手で触らないこと。</t>
  </si>
  <si>
    <t xml:space="preserve">item_077</t>
  </si>
  <si>
    <t xml:space="preserve">獣脂</t>
  </si>
  <si>
    <t xml:space="preserve">獣から煮出した脂。軟膏や石鹸の基材となる。</t>
  </si>
  <si>
    <t xml:space="preserve">中間素材。塗り薬を作るならこれが土台。</t>
  </si>
  <si>
    <t xml:space="preserve">item_078</t>
  </si>
  <si>
    <t xml:space="preserve">膠</t>
  </si>
  <si>
    <t xml:space="preserve">抜け殻を煮詰めて作る接着材。乾けば強く固まる。</t>
  </si>
  <si>
    <t xml:space="preserve">中間素材。凝固薬より強く、しかし熱に弱い。</t>
  </si>
  <si>
    <t xml:space="preserve">item_079</t>
  </si>
  <si>
    <t xml:space="preserve">香油</t>
  </si>
  <si>
    <t xml:space="preserve">獣脂に花草の香りを移した油。肌によく馴染む。</t>
  </si>
  <si>
    <t xml:space="preserve">中間素材。香りの薬はここから枝分かれする。</t>
  </si>
  <si>
    <t xml:space="preserve">item_080</t>
  </si>
  <si>
    <t xml:space="preserve">解毒エキス</t>
  </si>
  <si>
    <t xml:space="preserve">解毒素材を煮出し濃縮した液。ほとんどの毒に一定の効き目がある。</t>
  </si>
  <si>
    <t xml:space="preserve">中間素材。応急処置ならこれで足りる。強い毒には上位品が要る。</t>
  </si>
  <si>
    <t xml:space="preserve">item_081</t>
  </si>
  <si>
    <t xml:space="preserve">猛毒エキス</t>
  </si>
  <si>
    <t xml:space="preserve">毒草を溶かし込んだ透明な液。無臭であることが何より恐ろしい。</t>
  </si>
  <si>
    <t xml:space="preserve">中間素材。扱いは自己責任で。純化水で溶くと痕跡が残らない。</t>
  </si>
  <si>
    <t xml:space="preserve">item_082</t>
  </si>
  <si>
    <t xml:space="preserve">霊銀砂</t>
  </si>
  <si>
    <t xml:space="preserve">神秘の素材を挽き、鉱石粉と混ぜた銀色の砂。魔力をよく通す。</t>
  </si>
  <si>
    <t xml:space="preserve">中間素材（上位）。秘薬級の調合には大抵これが要る。</t>
  </si>
  <si>
    <t xml:space="preserve">item_083</t>
  </si>
  <si>
    <t xml:space="preserve">酒精</t>
  </si>
  <si>
    <t xml:space="preserve">発酵液を蒸留して得た強い酒。薬を溶かし、傷を清める。</t>
  </si>
  <si>
    <t xml:space="preserve">中間素材。飲むためのものではない、ということになっている。</t>
  </si>
  <si>
    <t xml:space="preserve">item_084</t>
  </si>
  <si>
    <t xml:space="preserve">硬化油</t>
  </si>
  <si>
    <t xml:space="preserve">香油を凝固薬で固めた半固形の油。塗った場所に留まり続ける。</t>
  </si>
  <si>
    <t xml:space="preserve">中間素材。流れ落ちては困る薬に使う。</t>
  </si>
  <si>
    <t xml:space="preserve">item_085</t>
  </si>
  <si>
    <t xml:space="preserve">苦灰塩</t>
  </si>
  <si>
    <t xml:space="preserve">木灰と塩を練り合わせた灰白色の粉。酸と毒を穏やかに打ち消す。</t>
  </si>
  <si>
    <t xml:space="preserve">中間素材。中和素材が手元にない時の代用にもなる。</t>
  </si>
  <si>
    <t xml:space="preserve">item_086</t>
  </si>
  <si>
    <t xml:space="preserve">鎮静水</t>
  </si>
  <si>
    <t xml:space="preserve">鎮静素材を蒸留水で煮出した澄んだ液。眠りの薬の土台。</t>
  </si>
  <si>
    <t xml:space="preserve">中間素材。濃くしすぎると目覚めなくなる。</t>
  </si>
  <si>
    <t xml:space="preserve">item_087</t>
  </si>
  <si>
    <t xml:space="preserve">活性水</t>
  </si>
  <si>
    <t xml:space="preserve">興奮素材を蒸留水で煮出した液。飲むと指先まで熱くなる。</t>
  </si>
  <si>
    <t xml:space="preserve">中間素材。連用は勧められない。</t>
  </si>
  <si>
    <t xml:space="preserve">item_088</t>
  </si>
  <si>
    <t xml:space="preserve">ガラス瓶</t>
  </si>
  <si>
    <t xml:space="preserve">気体や液体を封じるための小瓶。行商人が束で売っている。</t>
  </si>
  <si>
    <t xml:space="preserve">購入品。気体を作る調合には必ずこれが要る。瓶がなければ、生じた気体はその場で散ってしまう。</t>
  </si>
  <si>
    <t xml:space="preserve">購入</t>
  </si>
  <si>
    <t xml:space="preserve">item_089</t>
  </si>
  <si>
    <t xml:space="preserve">錆びた釘</t>
  </si>
  <si>
    <t xml:space="preserve">遺跡の梁から抜き取った鉄の釘。赤錆を纏っている。</t>
  </si>
  <si>
    <t xml:space="preserve">購入品。錆びているほど良いとされる。鉄気が薬を落ち着かせるらしい。</t>
  </si>
  <si>
    <t xml:space="preserve">item_090</t>
  </si>
  <si>
    <t xml:space="preserve">古銭</t>
  </si>
  <si>
    <t xml:space="preserve">誰も使わなくなった時代の銅貨。表面に緑青が浮いている。</t>
  </si>
  <si>
    <t xml:space="preserve">購入品。緑青には物を腐らせない力がある。傷薬に触れさせると日持ちが変わる。</t>
  </si>
  <si>
    <t xml:space="preserve">item_091</t>
  </si>
  <si>
    <t xml:space="preserve">陶片</t>
  </si>
  <si>
    <t xml:space="preserve">割れた壺のかけら。素焼きのため水をよく吸う。</t>
  </si>
  <si>
    <t xml:space="preserve">購入品。安い。粉を練るときの受け皿にも、素材そのものにもなる。</t>
  </si>
  <si>
    <t xml:space="preserve">item_092</t>
  </si>
  <si>
    <t xml:space="preserve">鉛の錘</t>
  </si>
  <si>
    <t xml:space="preserve">漁網に使われていた柔らかい金属の塊。ずしりと重い。</t>
  </si>
  <si>
    <t xml:space="preserve">購入品。扱った手で物を食べてはいけない。じわじわと人を弱らせる金属だ。</t>
  </si>
  <si>
    <t xml:space="preserve">item_093</t>
  </si>
  <si>
    <t xml:space="preserve">鏡の破片</t>
  </si>
  <si>
    <t xml:space="preserve">磨かれた金属鏡のかけら。曇っているのに、時折こちらを覗き返す。</t>
  </si>
  <si>
    <t xml:space="preserve">購入品。高価。映すという行為そのものに力が宿ると考える者もいる。</t>
  </si>
  <si>
    <t xml:space="preserve">item_094</t>
  </si>
  <si>
    <t xml:space="preserve">銅線</t>
  </si>
  <si>
    <t xml:space="preserve">何かの装置から解かれた細い銅の線。艶がある。</t>
  </si>
  <si>
    <t xml:space="preserve">購入品。熱と力をよく通す。反応を全体に行き渡らせたい時に。</t>
  </si>
  <si>
    <t xml:space="preserve">item_095</t>
  </si>
  <si>
    <t xml:space="preserve">香炉の欠片</t>
  </si>
  <si>
    <t xml:space="preserve">神殿で使われていた香炉のかけら。今も甘い匂いが染みついている。</t>
  </si>
  <si>
    <t xml:space="preserve">購入品。染み込んだ香が抜けきらない。焚けば当時の匂いが立ち上る。</t>
  </si>
  <si>
    <t xml:space="preserve">item_096</t>
  </si>
  <si>
    <t xml:space="preserve">硫黄の気</t>
  </si>
  <si>
    <t xml:space="preserve">瓶の中で黄色く揺れる気体。栓を抜くと刺すような臭いが広がる。</t>
  </si>
  <si>
    <t xml:space="preserve">調合品。虫も獣も逃げ出す。密閉したまま持ち歩くこと。</t>
  </si>
  <si>
    <t xml:space="preserve">消耗品</t>
  </si>
  <si>
    <t xml:space="preserve">気体</t>
  </si>
  <si>
    <t xml:space="preserve">item_097</t>
  </si>
  <si>
    <t xml:space="preserve">眠りの気</t>
  </si>
  <si>
    <t xml:space="preserve">無色の気体。瓶越しに見ると、わずかに景色が歪む。</t>
  </si>
  <si>
    <t xml:space="preserve">調合品。吸えば数分で膝から力が抜ける。自分が吸わないように。</t>
  </si>
  <si>
    <t xml:space="preserve">item_098</t>
  </si>
  <si>
    <t xml:space="preserve">灯りの気</t>
  </si>
  <si>
    <t xml:space="preserve">瓶の中でぼんやりと青白く光り続ける気体。熱はない。</t>
  </si>
  <si>
    <t xml:space="preserve">調合品。燃えないのに光る。灯守の間では蝋燭より重宝される。</t>
  </si>
  <si>
    <t xml:space="preserve">item_099</t>
  </si>
  <si>
    <t xml:space="preserve">毒の気</t>
  </si>
  <si>
    <t xml:space="preserve">わずかに緑がかった気体。瓶の内側に細かな滴が付く。</t>
  </si>
  <si>
    <t xml:space="preserve">調合品。取り扱いは自己責任で。栓の蝋は二重に。</t>
  </si>
  <si>
    <t xml:space="preserve">item_100</t>
  </si>
  <si>
    <t xml:space="preserve">清めの気</t>
  </si>
  <si>
    <t xml:space="preserve">つんとした匂いの透明な気体。空気そのものを洗うという。</t>
  </si>
  <si>
    <t xml:space="preserve">調合品。病の流行った家に一瓶。窓を閉めて焚く。</t>
  </si>
  <si>
    <t xml:space="preserve">item_101</t>
  </si>
  <si>
    <t xml:space="preserve">加速の秘薬</t>
  </si>
  <si>
    <t xml:space="preserve">飲むと足取りが軽くなる秘薬。僅かに苦い後味が残る。</t>
  </si>
  <si>
    <t xml:space="preserve">調合でのみ得られる完成品。</t>
  </si>
  <si>
    <t xml:space="preserve">item_102</t>
  </si>
  <si>
    <t xml:space="preserve">汎用毒消し</t>
  </si>
  <si>
    <t xml:space="preserve">ありふれた毒なら大抵これで足りる、基本の毒消し。</t>
  </si>
  <si>
    <t xml:space="preserve">item_103</t>
  </si>
  <si>
    <t xml:space="preserve">野草の傷薬</t>
  </si>
  <si>
    <t xml:space="preserve">そのへんの草で作れる素朴な傷薬。旅の常備品。</t>
  </si>
  <si>
    <t xml:space="preserve">item_104</t>
  </si>
  <si>
    <t xml:space="preserve">鎮静の丸薬</t>
  </si>
  <si>
    <t xml:space="preserve">気を静める丸薬。噛まずに飲み下すこと。</t>
  </si>
  <si>
    <t xml:space="preserve">item_105</t>
  </si>
  <si>
    <t xml:space="preserve">目覚め薬</t>
  </si>
  <si>
    <t xml:space="preserve">鼻に近づけるだけで眠気が飛ぶ刺激薬。</t>
  </si>
  <si>
    <t xml:space="preserve">item_106</t>
  </si>
  <si>
    <t xml:space="preserve">滋養の煎じ薬</t>
  </si>
  <si>
    <t xml:space="preserve">疲れた体に染み渡る煎じ薬。鉄の味がする。</t>
  </si>
  <si>
    <t xml:space="preserve">item_107</t>
  </si>
  <si>
    <t xml:space="preserve">煙の護符</t>
  </si>
  <si>
    <t xml:space="preserve">焚くと薄い煙の膜を張り、身を守る護符。</t>
  </si>
  <si>
    <t xml:space="preserve">道具</t>
  </si>
  <si>
    <t xml:space="preserve">item_108</t>
  </si>
  <si>
    <t xml:space="preserve">万能解毒剤</t>
  </si>
  <si>
    <t xml:space="preserve">強い毒にも届く上等な解毒剤。値は張る。</t>
  </si>
  <si>
    <t xml:space="preserve">item_109</t>
  </si>
  <si>
    <t xml:space="preserve">上質な傷薬</t>
  </si>
  <si>
    <t xml:space="preserve">純化水で仕立てた澄んだ傷薬。跡が残りにくい。</t>
  </si>
  <si>
    <t xml:space="preserve">item_110</t>
  </si>
  <si>
    <t xml:space="preserve">巫女セレネの霊視香</t>
  </si>
  <si>
    <t xml:space="preserve">焚けば見えざるものの輪郭が浮かぶという神殿の香。</t>
  </si>
  <si>
    <t xml:space="preserve">item_111</t>
  </si>
  <si>
    <t xml:space="preserve">蛇牙の塗り毒</t>
  </si>
  <si>
    <t xml:space="preserve">刃に塗って使う粘つく毒。扱いは慎重に。</t>
  </si>
  <si>
    <t xml:space="preserve">item_112</t>
  </si>
  <si>
    <t xml:space="preserve">硬化の膏薬</t>
  </si>
  <si>
    <t xml:space="preserve">塗ると皮膚が硬く締まる膏薬。</t>
  </si>
  <si>
    <t xml:space="preserve">item_113</t>
  </si>
  <si>
    <t xml:space="preserve">灯守ヨナの常夜灯</t>
  </si>
  <si>
    <t xml:space="preserve">燃料のいらない灯り。灯守の一族が守り伝えた。</t>
  </si>
  <si>
    <t xml:space="preserve">item_114</t>
  </si>
  <si>
    <t xml:space="preserve">獣香の誘引剤</t>
  </si>
  <si>
    <t xml:space="preserve">獣を引き寄せる強烈な匂いの液。風上で使うこと。</t>
  </si>
  <si>
    <t xml:space="preserve">item_115</t>
  </si>
  <si>
    <t xml:space="preserve">眠り姫マルグレーテの微睡み香</t>
  </si>
  <si>
    <t xml:space="preserve">百年の眠りを招いたと伝わる香。分量を誤らぬこと。</t>
  </si>
  <si>
    <t xml:space="preserve">item_116</t>
  </si>
  <si>
    <t xml:space="preserve">鉄壁の護り薬</t>
  </si>
  <si>
    <t xml:space="preserve">塗った箇所に硬い皮膜を張る護りの薬。</t>
  </si>
  <si>
    <t xml:space="preserve">item_117</t>
  </si>
  <si>
    <t xml:space="preserve">消臭の中和粉</t>
  </si>
  <si>
    <t xml:space="preserve">どんな臭いも打ち消す白い粉。</t>
  </si>
  <si>
    <t xml:space="preserve">item_118</t>
  </si>
  <si>
    <t xml:space="preserve">光苔のインク</t>
  </si>
  <si>
    <t xml:space="preserve">暗がりでぼんやり光る文字を書けるインク。</t>
  </si>
  <si>
    <t xml:space="preserve">item_119</t>
  </si>
  <si>
    <t xml:space="preserve">風読みフィオナの軟膏</t>
  </si>
  <si>
    <t xml:space="preserve">塗ると体が羽のように軽くなる軟膏。崖を渡る者の秘薬。</t>
  </si>
  <si>
    <t xml:space="preserve">item_120</t>
  </si>
  <si>
    <t xml:space="preserve">賢者アルドラスの霊薬</t>
  </si>
  <si>
    <t xml:space="preserve">思考が澄み渡り、見落としていた筋道が見えるという霊薬。</t>
  </si>
  <si>
    <t xml:space="preserve">item_121</t>
  </si>
  <si>
    <t xml:space="preserve">傷薬の軟膏</t>
  </si>
  <si>
    <t xml:space="preserve">膠と獣脂で練った塗りやすい傷薬。</t>
  </si>
  <si>
    <t xml:space="preserve">item_122</t>
  </si>
  <si>
    <t xml:space="preserve">止血粉</t>
  </si>
  <si>
    <t xml:space="preserve">傷口に振りかけて血を止める粉。</t>
  </si>
  <si>
    <t xml:space="preserve">item_123</t>
  </si>
  <si>
    <t xml:space="preserve">消毒液</t>
  </si>
  <si>
    <t xml:space="preserve">傷や器具を清める強い液。染みる。</t>
  </si>
  <si>
    <t xml:space="preserve">item_124</t>
  </si>
  <si>
    <t xml:space="preserve">解熱の煎じ薬</t>
  </si>
  <si>
    <t xml:space="preserve">熱を下げる煎じ薬。冷たいまま飲むとよい。</t>
  </si>
  <si>
    <t xml:space="preserve">item_125</t>
  </si>
  <si>
    <t xml:space="preserve">強壮酒</t>
  </si>
  <si>
    <t xml:space="preserve">滋養を発酵させて閉じ込めた酒。一杯で足りる。</t>
  </si>
  <si>
    <t xml:space="preserve">item_126</t>
  </si>
  <si>
    <t xml:space="preserve">覚醒錠</t>
  </si>
  <si>
    <t xml:space="preserve">眠気を断つ小さな錠剤。連用は勧められない。</t>
  </si>
  <si>
    <t xml:space="preserve">item_127</t>
  </si>
  <si>
    <t xml:space="preserve">麻酔液</t>
  </si>
  <si>
    <t xml:space="preserve">痛覚を鈍らせる液。処置の前に用いる。</t>
  </si>
  <si>
    <t xml:space="preserve">item_128</t>
  </si>
  <si>
    <t xml:space="preserve">防虫香</t>
  </si>
  <si>
    <t xml:space="preserve">焚くと虫が寄りつかなくなる香。野営の必需品。</t>
  </si>
  <si>
    <t xml:space="preserve">item_129</t>
  </si>
  <si>
    <t xml:space="preserve">防寒の膏薬</t>
  </si>
  <si>
    <t xml:space="preserve">肌に塗って寒さを防ぐ厚い膏薬。</t>
  </si>
  <si>
    <t xml:space="preserve">item_130</t>
  </si>
  <si>
    <t xml:space="preserve">虫下し</t>
  </si>
  <si>
    <t xml:space="preserve">腹の虫を落とす薬。ひどく苦い。</t>
  </si>
  <si>
    <t xml:space="preserve">item_131</t>
  </si>
  <si>
    <t xml:space="preserve">洗い粉</t>
  </si>
  <si>
    <t xml:space="preserve">脂汚れを落とす粉。いわゆる石鹸。</t>
  </si>
  <si>
    <t xml:space="preserve">item_132</t>
  </si>
  <si>
    <t xml:space="preserve">目薬</t>
  </si>
  <si>
    <t xml:space="preserve">目の疲れと濁りを取る澄んだ薬。</t>
  </si>
  <si>
    <t xml:space="preserve">item_133</t>
  </si>
  <si>
    <t xml:space="preserve">気付け薬</t>
  </si>
  <si>
    <t xml:space="preserve">気を失った者の鼻先で栓を抜く刺激薬。</t>
  </si>
  <si>
    <t xml:space="preserve">item_134</t>
  </si>
  <si>
    <t xml:space="preserve">携行糧</t>
  </si>
  <si>
    <t xml:space="preserve">日持ちする旅の食糧。味は期待しないこと。</t>
  </si>
  <si>
    <t xml:space="preserve">item_135</t>
  </si>
  <si>
    <t xml:space="preserve">上級傷薬</t>
  </si>
  <si>
    <t xml:space="preserve">深い傷にも届く上等な傷薬。</t>
  </si>
  <si>
    <t xml:space="preserve">item_136</t>
  </si>
  <si>
    <t xml:space="preserve">万能解毒丸</t>
  </si>
  <si>
    <t xml:space="preserve">持ち運びやすく固めた解毒の丸薬。</t>
  </si>
  <si>
    <t xml:space="preserve">item_137</t>
  </si>
  <si>
    <t xml:space="preserve">深眠薬</t>
  </si>
  <si>
    <t xml:space="preserve">眠れぬ夜を確実に断ち切る薬。翌朝まで覚めない。</t>
  </si>
  <si>
    <t xml:space="preserve">item_138</t>
  </si>
  <si>
    <t xml:space="preserve">戦士の血止め</t>
  </si>
  <si>
    <t xml:space="preserve">戦場で使う速効の止血薬。酒精で清めながら塞ぐ。</t>
  </si>
  <si>
    <t xml:space="preserve">item_139</t>
  </si>
  <si>
    <t xml:space="preserve">猛毒の塗り薬</t>
  </si>
  <si>
    <t xml:space="preserve">無臭で刃に留まる猛毒。使えば戻れない。</t>
  </si>
  <si>
    <t xml:space="preserve">item_140</t>
  </si>
  <si>
    <t xml:space="preserve">耐火の護り薬</t>
  </si>
  <si>
    <t xml:space="preserve">炎熱から身を守る厚い皮膜を作る薬。</t>
  </si>
  <si>
    <t xml:space="preserve">item_141</t>
  </si>
  <si>
    <t xml:space="preserve">治癒の秘薬</t>
  </si>
  <si>
    <t xml:space="preserve">超純水で仕立てた治癒の極み。傷が見る間に塞がる。</t>
  </si>
  <si>
    <t xml:space="preserve">item_142</t>
  </si>
  <si>
    <t xml:space="preserve">霊視の眼薬</t>
  </si>
  <si>
    <t xml:space="preserve">目にさすと見えざるものが映るという眼薬。</t>
  </si>
  <si>
    <t xml:space="preserve">item_143</t>
  </si>
  <si>
    <t xml:space="preserve">疾風の丸薬</t>
  </si>
  <si>
    <t xml:space="preserve">噛み砕くと体が軽く速くなる丸薬。</t>
  </si>
  <si>
    <t xml:space="preserve">item_144</t>
  </si>
  <si>
    <t xml:space="preserve">鉄壁の丸薬</t>
  </si>
  <si>
    <t xml:space="preserve">飲めば体が鉛のように重く硬くなる丸薬。</t>
  </si>
  <si>
    <t xml:space="preserve">item_145</t>
  </si>
  <si>
    <t xml:space="preserve">魔女レウィシアの秘薬</t>
  </si>
  <si>
    <t xml:space="preserve">癒しと神秘を一滴に束ねた伝説の秘薬。作れる者はもういない。</t>
  </si>
  <si>
    <t xml:space="preserve">item_146</t>
  </si>
  <si>
    <t xml:space="preserve">錬金王オルドリンの黄金水</t>
  </si>
  <si>
    <t xml:space="preserve">卑金属を黄金に変えると謳われた水。真偽は誰も知らない。</t>
  </si>
  <si>
    <t xml:space="preserve">販売品</t>
  </si>
  <si>
    <t xml:space="preserve">item_147</t>
  </si>
  <si>
    <t xml:space="preserve">死神ヴェルナの一滴</t>
  </si>
  <si>
    <t xml:space="preserve">水と見分けがつかない無色の毒。一滴で足りるという。</t>
  </si>
  <si>
    <t xml:space="preserve">item_148</t>
  </si>
  <si>
    <t xml:space="preserve">聖女アルテアの祝福水</t>
  </si>
  <si>
    <t xml:space="preserve">傷も病も退けたと伝わる祝福の水。清めの塩が香る。</t>
  </si>
  <si>
    <t xml:space="preserve">item_149</t>
  </si>
  <si>
    <t xml:space="preserve">隠者ガラハの不老酒</t>
  </si>
  <si>
    <t xml:space="preserve">百年寝かせたと称される酒。飲んだ者は年を忘れる。</t>
  </si>
  <si>
    <t xml:space="preserve">item_150</t>
  </si>
  <si>
    <t xml:space="preserve">竜殺しレギンの塗油</t>
  </si>
  <si>
    <t xml:space="preserve">竜の鱗をも侵すという塗油。刃に塗って使う。</t>
  </si>
  <si>
    <t xml:space="preserve">item_151</t>
  </si>
  <si>
    <t xml:space="preserve">星詠みイオラの夢見香</t>
  </si>
  <si>
    <t xml:space="preserve">焚いて眠れば、見た夢が明日を告げるという香。</t>
  </si>
  <si>
    <t xml:space="preserve">item_152</t>
  </si>
  <si>
    <t xml:space="preserve">万物医アシュレイの万能薬</t>
  </si>
  <si>
    <t xml:space="preserve">あらゆる症状に効くとされる万能薬。医の到達点。</t>
  </si>
  <si>
    <t xml:space="preserve">item_153</t>
  </si>
  <si>
    <t xml:space="preserve">城塞守りバルドの不壊薬</t>
  </si>
  <si>
    <t xml:space="preserve">城門のごとく体を固める護りの薬。</t>
  </si>
  <si>
    <t xml:space="preserve">item_154</t>
  </si>
  <si>
    <t xml:space="preserve">鍛冶師ドヴェルの焼き入れ水</t>
  </si>
  <si>
    <t xml:space="preserve">刃を鍛えるための水。これで焼き入れた刃は欠けない。</t>
  </si>
  <si>
    <t xml:space="preserve">item_155</t>
  </si>
  <si>
    <t xml:space="preserve">染料液</t>
  </si>
  <si>
    <t xml:space="preserve">布や紙を染めるための液。灰汁で色が定着する。</t>
  </si>
  <si>
    <t xml:space="preserve">item_156</t>
  </si>
  <si>
    <t xml:space="preserve">墨汁</t>
  </si>
  <si>
    <t xml:space="preserve">骨炭と膠で練った黒い墨。よく伸びる。</t>
  </si>
  <si>
    <t xml:space="preserve">item_157</t>
  </si>
  <si>
    <t xml:space="preserve">灯火油</t>
  </si>
  <si>
    <t xml:space="preserve">煤の少ない灯り用の油。長く燃える。</t>
  </si>
  <si>
    <t xml:space="preserve">item_158</t>
  </si>
  <si>
    <t xml:space="preserve">煙玉</t>
  </si>
  <si>
    <t xml:space="preserve">投げつけると刺激臭の煙が広がる玉。</t>
  </si>
  <si>
    <t xml:space="preserve">item_159</t>
  </si>
  <si>
    <t xml:space="preserve">目つぶし粉</t>
  </si>
  <si>
    <t xml:space="preserve">顔に撒くと目を開けていられなくなる粉。</t>
  </si>
  <si>
    <t xml:space="preserve">item_160</t>
  </si>
  <si>
    <t xml:space="preserve">粘着剤</t>
  </si>
  <si>
    <t xml:space="preserve">強く粘る接着剤。乾けば剥がれない。</t>
  </si>
  <si>
    <t xml:space="preserve">item_161</t>
  </si>
  <si>
    <t xml:space="preserve">防水油</t>
  </si>
  <si>
    <t xml:space="preserve">布や革に塗って水を弾かせる油。</t>
  </si>
  <si>
    <t xml:space="preserve">item_162</t>
  </si>
  <si>
    <t xml:space="preserve">研磨粉</t>
  </si>
  <si>
    <t xml:space="preserve">刃物や鏡を磨くための細かな粉。</t>
  </si>
  <si>
    <t xml:space="preserve">item_163</t>
  </si>
  <si>
    <t xml:space="preserve">うがい薬</t>
  </si>
  <si>
    <t xml:space="preserve">喉を清める塩気のある薬。朝晩に。</t>
  </si>
  <si>
    <t xml:space="preserve">item_164</t>
  </si>
  <si>
    <t xml:space="preserve">冷湿布</t>
  </si>
  <si>
    <t xml:space="preserve">患部を冷やして痛みを和らげる湿布。</t>
  </si>
  <si>
    <t xml:space="preserve">item_165</t>
  </si>
  <si>
    <t xml:space="preserve">咳止めの煎じ薬</t>
  </si>
  <si>
    <t xml:space="preserve">止まらぬ咳を鎮める煎じ薬。喉に膜を張る。</t>
  </si>
  <si>
    <t xml:space="preserve">item_166</t>
  </si>
  <si>
    <t xml:space="preserve">発汗薬</t>
  </si>
  <si>
    <t xml:space="preserve">汗を出させて熱を下げる薬。水を多めに。</t>
  </si>
  <si>
    <t xml:space="preserve">item_167</t>
  </si>
  <si>
    <t xml:space="preserve">虫刺されの塗り薬</t>
  </si>
  <si>
    <t xml:space="preserve">腫れと痒みを抑える塗り薬。ひんやりする。</t>
  </si>
  <si>
    <t xml:space="preserve">item_168</t>
  </si>
  <si>
    <t xml:space="preserve">傷口洗浄液</t>
  </si>
  <si>
    <t xml:space="preserve">傷を洗うための清潔な液。</t>
  </si>
  <si>
    <t xml:space="preserve">item_169</t>
  </si>
  <si>
    <t xml:space="preserve">歯磨き粉</t>
  </si>
  <si>
    <t xml:space="preserve">歯を磨くための粉。塩気と薬草の香り。</t>
  </si>
  <si>
    <t xml:space="preserve">item_170</t>
  </si>
  <si>
    <t xml:space="preserve">消臭袋</t>
  </si>
  <si>
    <t xml:space="preserve">吊しておくと臭いを吸い取る小袋。</t>
  </si>
  <si>
    <t xml:space="preserve">item_171</t>
  </si>
  <si>
    <t xml:space="preserve">干し肉</t>
  </si>
  <si>
    <t xml:space="preserve">塩を擦り込んで干した肉。旅の友。</t>
  </si>
  <si>
    <t xml:space="preserve">item_172</t>
  </si>
  <si>
    <t xml:space="preserve">種子の防腐剤</t>
  </si>
  <si>
    <t xml:space="preserve">種を蒔くまで傷ませないための薬。</t>
  </si>
  <si>
    <t xml:space="preserve">item_173</t>
  </si>
  <si>
    <t xml:space="preserve">撒き餌</t>
  </si>
  <si>
    <t xml:space="preserve">獣や魚を寄せるための発酵させた餌。</t>
  </si>
  <si>
    <t xml:space="preserve">item_174</t>
  </si>
  <si>
    <t xml:space="preserve">保冷剤</t>
  </si>
  <si>
    <t xml:space="preserve">冷気を閉じ込めた包み。食料も薬も保つ。</t>
  </si>
  <si>
    <t xml:space="preserve">item_175</t>
  </si>
  <si>
    <t xml:space="preserve">薬瓶</t>
  </si>
  <si>
    <t xml:space="preserve">液体を入れるための小瓶。栓と匙が付いている。</t>
  </si>
  <si>
    <t xml:space="preserve">購入品。液体の調合品を作るには必ずこれが要る。中身を使い切れば瓶は戻る。</t>
  </si>
  <si>
    <t xml:space="preserve">item_176</t>
  </si>
  <si>
    <t xml:space="preserve">弁柄</t>
  </si>
  <si>
    <t xml:space="preserve">錆から得た赤い顔料。日に焼けても色が褪せない。</t>
  </si>
  <si>
    <t xml:space="preserve">遺物を材料とする調合品。</t>
  </si>
  <si>
    <t xml:space="preserve">item_177</t>
  </si>
  <si>
    <t xml:space="preserve">緑青の顔料</t>
  </si>
  <si>
    <t xml:space="preserve">古銭の緑青から得た深い緑の顔料。防腐の力も残る。</t>
  </si>
  <si>
    <t xml:space="preserve">item_178</t>
  </si>
  <si>
    <t xml:space="preserve">鉛白</t>
  </si>
  <si>
    <t xml:space="preserve">目の覚めるような白い顔料。美しいが体に障る。</t>
  </si>
  <si>
    <t xml:space="preserve">item_179</t>
  </si>
  <si>
    <t xml:space="preserve">乾燥剤</t>
  </si>
  <si>
    <t xml:space="preserve">湿気を吸い取る焼き締めた粒。薬の保管に。</t>
  </si>
  <si>
    <t xml:space="preserve">item_180</t>
  </si>
  <si>
    <t xml:space="preserve">導きの銅線</t>
  </si>
  <si>
    <t xml:space="preserve">魔力を端から端まで滞りなく通す銅の線。</t>
  </si>
  <si>
    <t xml:space="preserve">item_181</t>
  </si>
  <si>
    <t xml:space="preserve">遠見の鏡</t>
  </si>
  <si>
    <t xml:space="preserve">覗き込むと遠くの景色が映るという鏡。</t>
  </si>
  <si>
    <t xml:space="preserve">item_182</t>
  </si>
  <si>
    <t xml:space="preserve">追想の香</t>
  </si>
  <si>
    <t xml:space="preserve">焚くと忘れていた記憶がふと蘇る香。</t>
  </si>
  <si>
    <r>
      <rPr>
        <sz val="11"/>
        <color theme="1"/>
        <rFont val="Calibri"/>
        <family val="0"/>
        <charset val="1"/>
      </rPr>
      <t xml:space="preserve">※ categoryId / effectId / reactionId </t>
    </r>
    <r>
      <rPr>
        <sz val="11"/>
        <color theme="1"/>
        <rFont val="Noto Sans CJK SC"/>
        <family val="2"/>
      </rPr>
      <t xml:space="preserve">は「値リスト」シート参照。空欄は後から記入。採取場所・確率は </t>
    </r>
    <r>
      <rPr>
        <sz val="11"/>
        <color theme="1"/>
        <rFont val="Calibri"/>
        <family val="0"/>
        <charset val="1"/>
      </rPr>
      <t xml:space="preserve">ItemSpawns </t>
    </r>
    <r>
      <rPr>
        <sz val="11"/>
        <color theme="1"/>
        <rFont val="Noto Sans CJK SC"/>
        <family val="2"/>
      </rPr>
      <t xml:space="preserve">シートで管理。</t>
    </r>
  </si>
  <si>
    <r>
      <rPr>
        <b val="true"/>
        <sz val="11"/>
        <color rgb="FF1E3A5F"/>
        <rFont val="Arial"/>
        <family val="0"/>
        <charset val="1"/>
      </rPr>
      <t xml:space="preserve">ItemSpawns</t>
    </r>
    <r>
      <rPr>
        <b val="true"/>
        <sz val="11"/>
        <color rgb="FF1E3A5F"/>
        <rFont val="Noto Sans CJK SC"/>
        <family val="2"/>
      </rPr>
      <t xml:space="preserve">（採取場所・時間帯・確率）  ―  </t>
    </r>
    <r>
      <rPr>
        <b val="true"/>
        <sz val="11"/>
        <color rgb="FF1E3A5F"/>
        <rFont val="Arial"/>
        <family val="0"/>
        <charset val="1"/>
      </rPr>
      <t xml:space="preserve">1</t>
    </r>
    <r>
      <rPr>
        <b val="true"/>
        <sz val="11"/>
        <color rgb="FF1E3A5F"/>
        <rFont val="Noto Sans CJK SC"/>
        <family val="2"/>
      </rPr>
      <t xml:space="preserve">行 ＝ </t>
    </r>
    <r>
      <rPr>
        <b val="true"/>
        <sz val="11"/>
        <color rgb="FF1E3A5F"/>
        <rFont val="Arial"/>
        <family val="0"/>
        <charset val="1"/>
      </rPr>
      <t xml:space="preserve">itemId × </t>
    </r>
    <r>
      <rPr>
        <b val="true"/>
        <sz val="11"/>
        <color rgb="FF1E3A5F"/>
        <rFont val="Noto Sans CJK SC"/>
        <family val="2"/>
      </rPr>
      <t xml:space="preserve">場所 </t>
    </r>
    <r>
      <rPr>
        <b val="true"/>
        <sz val="11"/>
        <color rgb="FF1E3A5F"/>
        <rFont val="Arial"/>
        <family val="0"/>
        <charset val="1"/>
      </rPr>
      <t xml:space="preserve">× </t>
    </r>
    <r>
      <rPr>
        <b val="true"/>
        <sz val="11"/>
        <color rgb="FF1E3A5F"/>
        <rFont val="Noto Sans CJK SC"/>
        <family val="2"/>
      </rPr>
      <t xml:space="preserve">時間帯</t>
    </r>
  </si>
  <si>
    <r>
      <rPr>
        <b val="true"/>
        <sz val="9"/>
        <color theme="1"/>
        <rFont val="Cambria"/>
        <family val="0"/>
        <charset val="1"/>
      </rPr>
      <t xml:space="preserve">itemId
→ Items </t>
    </r>
    <r>
      <rPr>
        <b val="true"/>
        <sz val="9"/>
        <color theme="1"/>
        <rFont val="Noto Sans CJK SC"/>
        <family val="2"/>
      </rPr>
      <t xml:space="preserve">シート参照</t>
    </r>
  </si>
  <si>
    <r>
      <rPr>
        <b val="true"/>
        <sz val="9"/>
        <color theme="1"/>
        <rFont val="Cambria"/>
        <family val="0"/>
        <charset val="1"/>
      </rPr>
      <t xml:space="preserve">terrainId
→ Terrains </t>
    </r>
    <r>
      <rPr>
        <b val="true"/>
        <sz val="9"/>
        <color theme="1"/>
        <rFont val="Noto Sans CJK SC"/>
        <family val="2"/>
      </rPr>
      <t xml:space="preserve">シート参照</t>
    </r>
  </si>
  <si>
    <r>
      <rPr>
        <b val="true"/>
        <sz val="9"/>
        <color theme="1"/>
        <rFont val="Cambria"/>
        <family val="0"/>
        <charset val="1"/>
      </rPr>
      <t xml:space="preserve">timeSlot
</t>
    </r>
    <r>
      <rPr>
        <b val="true"/>
        <sz val="9"/>
        <color theme="1"/>
        <rFont val="Noto Sans CJK SC"/>
        <family val="2"/>
      </rPr>
      <t xml:space="preserve">時間帯 ▼日本語で選択</t>
    </r>
  </si>
  <si>
    <r>
      <rPr>
        <b val="true"/>
        <sz val="9"/>
        <color theme="1"/>
        <rFont val="Cambria"/>
        <family val="0"/>
        <charset val="1"/>
      </rPr>
      <t xml:space="preserve">timeSlot
※</t>
    </r>
    <r>
      <rPr>
        <b val="true"/>
        <sz val="9"/>
        <color theme="1"/>
        <rFont val="Noto Sans CJK SC"/>
        <family val="2"/>
      </rPr>
      <t xml:space="preserve">自動入力</t>
    </r>
  </si>
  <si>
    <r>
      <rPr>
        <b val="true"/>
        <sz val="9"/>
        <color theme="1"/>
        <rFont val="Cambria"/>
        <family val="0"/>
        <charset val="1"/>
      </rPr>
      <t xml:space="preserve">spawnRate
</t>
    </r>
    <r>
      <rPr>
        <b val="true"/>
        <sz val="9"/>
        <color theme="1"/>
        <rFont val="Noto Sans CJK SC"/>
        <family val="2"/>
      </rPr>
      <t xml:space="preserve">出現確率
</t>
    </r>
    <r>
      <rPr>
        <b val="true"/>
        <sz val="9"/>
        <color theme="1"/>
        <rFont val="Cambria"/>
        <family val="0"/>
        <charset val="1"/>
      </rPr>
      <t xml:space="preserve">0.0 </t>
    </r>
    <r>
      <rPr>
        <b val="true"/>
        <sz val="9"/>
        <color theme="1"/>
        <rFont val="Noto Sans CJK SC"/>
        <family val="2"/>
      </rPr>
      <t xml:space="preserve">〜 </t>
    </r>
    <r>
      <rPr>
        <b val="true"/>
        <sz val="9"/>
        <color theme="1"/>
        <rFont val="Cambria"/>
        <family val="0"/>
        <charset val="1"/>
      </rPr>
      <t xml:space="preserve">1.0</t>
    </r>
  </si>
  <si>
    <r>
      <rPr>
        <b val="true"/>
        <sz val="9"/>
        <color theme="1"/>
        <rFont val="Cambria"/>
        <family val="0"/>
        <charset val="1"/>
      </rPr>
      <t xml:space="preserve">quantity
</t>
    </r>
    <r>
      <rPr>
        <b val="true"/>
        <sz val="9"/>
        <color theme="1"/>
        <rFont val="Noto Sans CJK SC"/>
        <family val="2"/>
      </rPr>
      <t xml:space="preserve">採取数
省略可</t>
    </r>
    <r>
      <rPr>
        <b val="true"/>
        <sz val="9"/>
        <color theme="1"/>
        <rFont val="Cambria"/>
        <family val="0"/>
        <charset val="1"/>
      </rPr>
      <t xml:space="preserve">(=1)</t>
    </r>
  </si>
  <si>
    <r>
      <rPr>
        <b val="true"/>
        <sz val="9"/>
        <color theme="1"/>
        <rFont val="Cambria"/>
        <family val="0"/>
        <charset val="1"/>
      </rPr>
      <t xml:space="preserve">condition
</t>
    </r>
    <r>
      <rPr>
        <b val="true"/>
        <sz val="9"/>
        <color theme="1"/>
        <rFont val="Noto Sans CJK SC"/>
        <family val="2"/>
      </rPr>
      <t xml:space="preserve">追加条件
例</t>
    </r>
    <r>
      <rPr>
        <b val="true"/>
        <sz val="9"/>
        <color theme="1"/>
        <rFont val="Cambria"/>
        <family val="0"/>
        <charset val="1"/>
      </rPr>
      <t xml:space="preserve">: rain / winter</t>
    </r>
  </si>
  <si>
    <t xml:space="preserve">備考</t>
  </si>
  <si>
    <t xml:space="preserve">落ち葉の下に群生</t>
  </si>
  <si>
    <t xml:space="preserve">雨</t>
  </si>
  <si>
    <t xml:space="preserve">希少：ニガタケに紛れる</t>
  </si>
  <si>
    <t xml:space="preserve">泥炭層から掘る</t>
  </si>
  <si>
    <t xml:space="preserve">腐った倒木に群生</t>
  </si>
  <si>
    <t xml:space="preserve">針葉樹の根元</t>
  </si>
  <si>
    <t xml:space="preserve">希少：他の菌に寄生</t>
  </si>
  <si>
    <t xml:space="preserve">乾いた砂地</t>
  </si>
  <si>
    <t xml:space="preserve">腐臭のする水際</t>
  </si>
  <si>
    <t xml:space="preserve">松の根元の地中</t>
  </si>
  <si>
    <t xml:space="preserve">希少：雪の際の岩肌</t>
  </si>
  <si>
    <t xml:space="preserve">極稀：噴気孔の縁</t>
  </si>
  <si>
    <t xml:space="preserve">満月</t>
  </si>
  <si>
    <t xml:space="preserve">極稀：満月の夜のみ</t>
  </si>
  <si>
    <t xml:space="preserve">水際に群生</t>
  </si>
  <si>
    <t xml:space="preserve">荒れ地に真っ先に生える</t>
  </si>
  <si>
    <t xml:space="preserve">朝露を溜める</t>
  </si>
  <si>
    <t xml:space="preserve">畑の名残に</t>
  </si>
  <si>
    <t xml:space="preserve">岩肌を這う蔓</t>
  </si>
  <si>
    <t xml:space="preserve">畑跡に残る</t>
  </si>
  <si>
    <t xml:space="preserve">希少：残雪の際に咲く</t>
  </si>
  <si>
    <t xml:space="preserve">雪</t>
  </si>
  <si>
    <t xml:space="preserve">極稀：降雪時のみ</t>
  </si>
  <si>
    <t xml:space="preserve">希少：溶岩の裂け目</t>
  </si>
  <si>
    <t xml:space="preserve">希少：毒草</t>
  </si>
  <si>
    <t xml:space="preserve">希少：氷点下の岩場</t>
  </si>
  <si>
    <t xml:space="preserve">鉱脈から掘る</t>
  </si>
  <si>
    <t xml:space="preserve">錆びた金具から</t>
  </si>
  <si>
    <t xml:space="preserve">引き潮の岩礁</t>
  </si>
  <si>
    <t xml:space="preserve">希少：深部の鉱脈</t>
  </si>
  <si>
    <t xml:space="preserve">極稀：鍾乳石の先に結ぶ</t>
  </si>
  <si>
    <t xml:space="preserve">霧</t>
  </si>
  <si>
    <t xml:space="preserve">極稀：濃霧の朝のみ</t>
  </si>
  <si>
    <t xml:space="preserve">入手容易：発酵の起点</t>
  </si>
  <si>
    <t xml:space="preserve">夜明けにしか採れない</t>
  </si>
  <si>
    <t xml:space="preserve">鉄気を含む湧き水</t>
  </si>
  <si>
    <t xml:space="preserve">春</t>
  </si>
  <si>
    <t xml:space="preserve">雪解けの季節のみ</t>
  </si>
  <si>
    <t xml:space="preserve">古井戸の底</t>
  </si>
  <si>
    <t xml:space="preserve">竈の灰から漉す</t>
  </si>
  <si>
    <t xml:space="preserve">雨天時のみ</t>
  </si>
  <si>
    <t xml:space="preserve">引き潮の水たまり</t>
  </si>
  <si>
    <t xml:space="preserve">海蝕洞の奥</t>
  </si>
  <si>
    <t xml:space="preserve">希少：流れの中</t>
  </si>
  <si>
    <t xml:space="preserve">希少：灯りに寄る</t>
  </si>
  <si>
    <t xml:space="preserve">極稀：洞窟の最奥</t>
  </si>
  <si>
    <t xml:space="preserve">希少</t>
  </si>
  <si>
    <t xml:space="preserve">梁や床板から抜く</t>
  </si>
  <si>
    <t xml:space="preserve">土から出てくる</t>
  </si>
  <si>
    <t xml:space="preserve">そこら中に転がる</t>
  </si>
  <si>
    <t xml:space="preserve">漁具の名残</t>
  </si>
  <si>
    <t xml:space="preserve">極稀：割れずに残った鏡</t>
  </si>
  <si>
    <t xml:space="preserve">極稀：霧の朝のみ</t>
  </si>
  <si>
    <t xml:space="preserve">壊れた装置から解く</t>
  </si>
  <si>
    <t xml:space="preserve">希少：神殿跡の炉に残る</t>
  </si>
  <si>
    <r>
      <rPr>
        <b val="true"/>
        <sz val="11"/>
        <color rgb="FF1E3A5F"/>
        <rFont val="Arial"/>
        <family val="0"/>
        <charset val="1"/>
      </rPr>
      <t xml:space="preserve">Recipes</t>
    </r>
    <r>
      <rPr>
        <b val="true"/>
        <sz val="11"/>
        <color rgb="FF1E3A5F"/>
        <rFont val="Noto Sans CJK SC"/>
        <family val="2"/>
      </rPr>
      <t xml:space="preserve">（</t>
    </r>
    <r>
      <rPr>
        <b val="true"/>
        <sz val="11"/>
        <color rgb="FF1E3A5F"/>
        <rFont val="Arial"/>
        <family val="0"/>
        <charset val="1"/>
      </rPr>
      <t xml:space="preserve">data_recipes.js</t>
    </r>
    <r>
      <rPr>
        <b val="true"/>
        <sz val="11"/>
        <color rgb="FF1E3A5F"/>
        <rFont val="Noto Sans CJK SC"/>
        <family val="2"/>
      </rPr>
      <t xml:space="preserve">）  ―  </t>
    </r>
    <r>
      <rPr>
        <b val="true"/>
        <sz val="11"/>
        <color rgb="FF1E3A5F"/>
        <rFont val="Arial"/>
        <family val="0"/>
        <charset val="1"/>
      </rPr>
      <t xml:space="preserve">1</t>
    </r>
    <r>
      <rPr>
        <b val="true"/>
        <sz val="11"/>
        <color rgb="FF1E3A5F"/>
        <rFont val="Noto Sans CJK SC"/>
        <family val="2"/>
      </rPr>
      <t xml:space="preserve">行 ＝ </t>
    </r>
    <r>
      <rPr>
        <b val="true"/>
        <sz val="11"/>
        <color rgb="FF1E3A5F"/>
        <rFont val="Arial"/>
        <family val="0"/>
        <charset val="1"/>
      </rPr>
      <t xml:space="preserve">1</t>
    </r>
    <r>
      <rPr>
        <b val="true"/>
        <sz val="11"/>
        <color rgb="FF1E3A5F"/>
        <rFont val="Noto Sans CJK SC"/>
        <family val="2"/>
      </rPr>
      <t xml:space="preserve">素材条件　同じ </t>
    </r>
    <r>
      <rPr>
        <b val="true"/>
        <sz val="11"/>
        <color rgb="FF1E3A5F"/>
        <rFont val="Arial"/>
        <family val="0"/>
        <charset val="1"/>
      </rPr>
      <t xml:space="preserve">result </t>
    </r>
    <r>
      <rPr>
        <b val="true"/>
        <sz val="11"/>
        <color rgb="FF1E3A5F"/>
        <rFont val="Noto Sans CJK SC"/>
        <family val="2"/>
      </rPr>
      <t xml:space="preserve">を複数行で列挙</t>
    </r>
  </si>
  <si>
    <r>
      <rPr>
        <b val="true"/>
        <sz val="9"/>
        <color theme="1"/>
        <rFont val="Calibri"/>
        <family val="0"/>
        <charset val="1"/>
      </rPr>
      <t xml:space="preserve">result
</t>
    </r>
    <r>
      <rPr>
        <b val="true"/>
        <sz val="9"/>
        <color theme="1"/>
        <rFont val="Noto Sans CJK SC"/>
        <family val="2"/>
      </rPr>
      <t xml:space="preserve">生成物名
（複数行に同名</t>
    </r>
    <r>
      <rPr>
        <b val="true"/>
        <sz val="9"/>
        <color theme="1"/>
        <rFont val="Calibri"/>
        <family val="0"/>
        <charset val="1"/>
      </rPr>
      <t xml:space="preserve">OK</t>
    </r>
    <r>
      <rPr>
        <b val="true"/>
        <sz val="9"/>
        <color theme="1"/>
        <rFont val="Noto Sans CJK SC"/>
        <family val="2"/>
      </rPr>
      <t xml:space="preserve">）</t>
    </r>
  </si>
  <si>
    <r>
      <rPr>
        <b val="true"/>
        <sz val="9"/>
        <color theme="1"/>
        <rFont val="Calibri"/>
        <family val="0"/>
        <charset val="1"/>
      </rPr>
      <t xml:space="preserve">No
</t>
    </r>
    <r>
      <rPr>
        <b val="true"/>
        <sz val="9"/>
        <color theme="1"/>
        <rFont val="Noto Sans CJK SC"/>
        <family val="2"/>
      </rPr>
      <t xml:space="preserve">素材
番号</t>
    </r>
  </si>
  <si>
    <r>
      <rPr>
        <b val="true"/>
        <sz val="9"/>
        <color theme="1"/>
        <rFont val="Calibri"/>
        <family val="0"/>
        <charset val="1"/>
      </rPr>
      <t xml:space="preserve">checkType
</t>
    </r>
    <r>
      <rPr>
        <b val="true"/>
        <sz val="9"/>
        <color theme="1"/>
        <rFont val="Noto Sans CJK SC"/>
        <family val="2"/>
      </rPr>
      <t xml:space="preserve">判定タイプ
▼日本語で選択</t>
    </r>
  </si>
  <si>
    <r>
      <rPr>
        <b val="true"/>
        <sz val="9"/>
        <color theme="1"/>
        <rFont val="Calibri"/>
        <family val="0"/>
        <charset val="1"/>
      </rPr>
      <t xml:space="preserve">checkType
※</t>
    </r>
    <r>
      <rPr>
        <b val="true"/>
        <sz val="9"/>
        <color theme="1"/>
        <rFont val="Noto Sans CJK SC"/>
        <family val="2"/>
      </rPr>
      <t xml:space="preserve">自動入力</t>
    </r>
  </si>
  <si>
    <r>
      <rPr>
        <b val="true"/>
        <sz val="9"/>
        <color theme="1"/>
        <rFont val="Calibri"/>
        <family val="0"/>
        <charset val="1"/>
      </rPr>
      <t xml:space="preserve">value
</t>
    </r>
    <r>
      <rPr>
        <b val="true"/>
        <sz val="9"/>
        <color theme="1"/>
        <rFont val="Noto Sans CJK SC"/>
        <family val="2"/>
      </rPr>
      <t xml:space="preserve">判定値
</t>
    </r>
    <r>
      <rPr>
        <b val="true"/>
        <sz val="9"/>
        <color theme="1"/>
        <rFont val="Calibri"/>
        <family val="0"/>
        <charset val="1"/>
      </rPr>
      <t xml:space="preserve">ID</t>
    </r>
    <r>
      <rPr>
        <b val="true"/>
        <sz val="9"/>
        <color theme="1"/>
        <rFont val="Noto Sans CJK SC"/>
        <family val="2"/>
      </rPr>
      <t xml:space="preserve">または値を入力</t>
    </r>
  </si>
  <si>
    <r>
      <rPr>
        <b val="true"/>
        <sz val="9"/>
        <color theme="1"/>
        <rFont val="Calibri"/>
        <family val="0"/>
        <charset val="1"/>
      </rPr>
      <t xml:space="preserve">checkType2
</t>
    </r>
    <r>
      <rPr>
        <b val="true"/>
        <sz val="9"/>
        <color theme="1"/>
        <rFont val="Noto Sans CJK SC"/>
        <family val="2"/>
      </rPr>
      <t xml:space="preserve">判定タイプ</t>
    </r>
    <r>
      <rPr>
        <b val="true"/>
        <sz val="9"/>
        <color theme="1"/>
        <rFont val="Calibri"/>
        <family val="0"/>
        <charset val="1"/>
      </rPr>
      <t xml:space="preserve">2
▼</t>
    </r>
    <r>
      <rPr>
        <b val="true"/>
        <sz val="9"/>
        <color theme="1"/>
        <rFont val="Noto Sans CJK SC"/>
        <family val="2"/>
      </rPr>
      <t xml:space="preserve">日本語で選択（</t>
    </r>
    <r>
      <rPr>
        <b val="true"/>
        <sz val="9"/>
        <color theme="1"/>
        <rFont val="Calibri"/>
        <family val="0"/>
        <charset val="1"/>
      </rPr>
      <t xml:space="preserve">AND</t>
    </r>
    <r>
      <rPr>
        <b val="true"/>
        <sz val="9"/>
        <color theme="1"/>
        <rFont val="Noto Sans CJK SC"/>
        <family val="2"/>
      </rPr>
      <t xml:space="preserve">条件・省略可）</t>
    </r>
  </si>
  <si>
    <r>
      <rPr>
        <b val="true"/>
        <sz val="9"/>
        <color theme="1"/>
        <rFont val="Calibri"/>
        <family val="0"/>
        <charset val="1"/>
      </rPr>
      <t xml:space="preserve">checkType2
※</t>
    </r>
    <r>
      <rPr>
        <b val="true"/>
        <sz val="9"/>
        <color theme="1"/>
        <rFont val="Noto Sans CJK SC"/>
        <family val="2"/>
      </rPr>
      <t xml:space="preserve">自動入力</t>
    </r>
  </si>
  <si>
    <r>
      <rPr>
        <b val="true"/>
        <sz val="9"/>
        <color theme="1"/>
        <rFont val="Calibri"/>
        <family val="0"/>
        <charset val="1"/>
      </rPr>
      <t xml:space="preserve">value2
</t>
    </r>
    <r>
      <rPr>
        <b val="true"/>
        <sz val="9"/>
        <color theme="1"/>
        <rFont val="Noto Sans CJK SC"/>
        <family val="2"/>
      </rPr>
      <t xml:space="preserve">判定値</t>
    </r>
    <r>
      <rPr>
        <b val="true"/>
        <sz val="9"/>
        <color theme="1"/>
        <rFont val="Calibri"/>
        <family val="0"/>
        <charset val="1"/>
      </rPr>
      <t xml:space="preserve">2
ID</t>
    </r>
    <r>
      <rPr>
        <b val="true"/>
        <sz val="9"/>
        <color theme="1"/>
        <rFont val="Noto Sans CJK SC"/>
        <family val="2"/>
      </rPr>
      <t xml:space="preserve">または値を入力（</t>
    </r>
    <r>
      <rPr>
        <b val="true"/>
        <sz val="9"/>
        <color theme="1"/>
        <rFont val="Calibri"/>
        <family val="0"/>
        <charset val="1"/>
      </rPr>
      <t xml:space="preserve">AND</t>
    </r>
    <r>
      <rPr>
        <b val="true"/>
        <sz val="9"/>
        <color theme="1"/>
        <rFont val="Noto Sans CJK SC"/>
        <family val="2"/>
      </rPr>
      <t xml:space="preserve">条件・省略可）</t>
    </r>
  </si>
  <si>
    <r>
      <rPr>
        <b val="true"/>
        <sz val="9"/>
        <color theme="1"/>
        <rFont val="Calibri"/>
        <family val="0"/>
        <charset val="1"/>
      </rPr>
      <t xml:space="preserve">processId
</t>
    </r>
    <r>
      <rPr>
        <b val="true"/>
        <sz val="9"/>
        <color theme="1"/>
        <rFont val="Noto Sans CJK SC"/>
        <family val="2"/>
      </rPr>
      <t xml:space="preserve">加工法
▼日本語で選択</t>
    </r>
  </si>
  <si>
    <r>
      <rPr>
        <b val="true"/>
        <sz val="9"/>
        <color theme="1"/>
        <rFont val="Calibri"/>
        <family val="0"/>
        <charset val="1"/>
      </rPr>
      <t xml:space="preserve">processId
※</t>
    </r>
    <r>
      <rPr>
        <b val="true"/>
        <sz val="9"/>
        <color theme="1"/>
        <rFont val="Noto Sans CJK SC"/>
        <family val="2"/>
      </rPr>
      <t xml:space="preserve">自動入力</t>
    </r>
  </si>
  <si>
    <r>
      <rPr>
        <b val="true"/>
        <sz val="9"/>
        <color theme="1"/>
        <rFont val="Calibri"/>
        <family val="0"/>
        <charset val="1"/>
      </rPr>
      <t xml:space="preserve">quantity
</t>
    </r>
    <r>
      <rPr>
        <b val="true"/>
        <sz val="9"/>
        <color theme="1"/>
        <rFont val="Noto Sans CJK SC"/>
        <family val="2"/>
      </rPr>
      <t xml:space="preserve">必要数
省略可</t>
    </r>
    <r>
      <rPr>
        <b val="true"/>
        <sz val="9"/>
        <color theme="1"/>
        <rFont val="Calibri"/>
        <family val="0"/>
        <charset val="1"/>
      </rPr>
      <t xml:space="preserve">(=1)</t>
    </r>
  </si>
  <si>
    <t xml:space="preserve">備考
代替・バランスメモ</t>
  </si>
  <si>
    <t xml:space="preserve">容器
薬瓶 / ガラス瓶 / なし</t>
  </si>
  <si>
    <t xml:space="preserve">ニガハシリダケ限定</t>
  </si>
  <si>
    <t xml:space="preserve">✔</t>
  </si>
  <si>
    <t xml:space="preserve">水系ならなんでもOK</t>
  </si>
  <si>
    <t xml:space="preserve">解毒効果を持つ素材</t>
  </si>
  <si>
    <t xml:space="preserve">中和の性質を持つ素材</t>
  </si>
  <si>
    <t xml:space="preserve">水質素材ならなんでもOK</t>
  </si>
  <si>
    <t xml:space="preserve">ベース：蒸留水</t>
  </si>
  <si>
    <t xml:space="preserve">分離特性の素材を溶かす（例：深層の塩水・白砂晶・墨痕石）</t>
  </si>
  <si>
    <t xml:space="preserve">蒸留水をベースに蒸留</t>
  </si>
  <si>
    <t xml:space="preserve">純化水を加えて二重浄化</t>
  </si>
  <si>
    <t xml:space="preserve">水質ベース</t>
  </si>
  <si>
    <t xml:space="preserve">凝固特性の素材を加える（例：鍾乳洞の滴り・樹皮を伝う雨水）</t>
  </si>
  <si>
    <t xml:space="preserve">浸透特性の水質を蒸留（例：草木の朝露・灰から取った灰汁）</t>
  </si>
  <si>
    <t xml:space="preserve">植物素材を溶かし込む</t>
  </si>
  <si>
    <t xml:space="preserve">雨溜まりの泥水を発酵</t>
  </si>
  <si>
    <t xml:space="preserve">菌類を加えて発酵を促進</t>
  </si>
  <si>
    <t xml:space="preserve">保存特性の水質を煮る（例：鉄渋の湧き水・古井戸の溜まり水）</t>
  </si>
  <si>
    <t xml:space="preserve">鉱物素材を溶かし安定性を高める</t>
  </si>
  <si>
    <t xml:space="preserve">植物かつ治癒の素材（イバラアザミ・ハッカガヤ・ニガヨモギモドキなど）</t>
  </si>
  <si>
    <t xml:space="preserve">水でのばす</t>
  </si>
  <si>
    <t xml:space="preserve">鎮静効果の素材（青泥石・氷晶石モドキ・オオツユグサなど）</t>
  </si>
  <si>
    <t xml:space="preserve">凝固素材で丸薬に固める</t>
  </si>
  <si>
    <t xml:space="preserve">溶媒</t>
  </si>
  <si>
    <t xml:space="preserve">トゲネズミの抜け殻（固定）</t>
  </si>
  <si>
    <t xml:space="preserve">揮発素材で吸引薬に（カサカサ草・ミズススリの浮き袋など）</t>
  </si>
  <si>
    <t xml:space="preserve">滋養強壮の素材（ドロワリタケ・ツボミカズラ・ネバリダイコンなど）</t>
  </si>
  <si>
    <t xml:space="preserve">浸透素材で体の芯まで</t>
  </si>
  <si>
    <t xml:space="preserve">鉄渋の湧き水（固定）：効能を定着させる</t>
  </si>
  <si>
    <t xml:space="preserve">防護効果の素材（ユウヒダケ・イワノボリツル・雲母片岩など）</t>
  </si>
  <si>
    <t xml:space="preserve">揮発素材で煙に変える</t>
  </si>
  <si>
    <t xml:space="preserve">カサカサ草（固定）：着火補助</t>
  </si>
  <si>
    <t xml:space="preserve">【T2】汎用毒消しの上位版。エキスを土台にする</t>
  </si>
  <si>
    <t xml:space="preserve">中和素材を煮出して効力を引き出す</t>
  </si>
  <si>
    <t xml:space="preserve">最上の溶媒であらゆる毒に対応させる</t>
  </si>
  <si>
    <t xml:space="preserve">治癒素材を煮出す（イバラアザミ・ヤセボソシメジ等）</t>
  </si>
  <si>
    <t xml:space="preserve">純化水ベース：中間素材チェーンの回収先</t>
  </si>
  <si>
    <t xml:space="preserve">★人名T3。神秘素材を乾かして香に</t>
  </si>
  <si>
    <t xml:space="preserve">焼いて煙に変える</t>
  </si>
  <si>
    <t xml:space="preserve">燃焼の土台</t>
  </si>
  <si>
    <t xml:space="preserve">雑味を吸わせ視界を澄ませる</t>
  </si>
  <si>
    <t xml:space="preserve">毒素材（オロチノイバラ・カビツキヌメリ）</t>
  </si>
  <si>
    <t xml:space="preserve">粘性を持たせ刃に塗布可能に</t>
  </si>
  <si>
    <t xml:space="preserve">氷晶石モドキ（固定）。「凍らせる」工程の初出</t>
  </si>
  <si>
    <t xml:space="preserve">水質を纏わせて結晶化</t>
  </si>
  <si>
    <t xml:space="preserve">触媒素材（ドロワリタケ・黄土塊・ハバタキ蛾の粉末等）</t>
  </si>
  <si>
    <t xml:space="preserve">発酵液で活性化</t>
  </si>
  <si>
    <t xml:space="preserve">安定素材（リュウノツノ・鈍色金）</t>
  </si>
  <si>
    <t xml:space="preserve">中間素材：凝固薬を要求</t>
  </si>
  <si>
    <t xml:space="preserve">★人名T3。ホタルコウモリの牙（固定）</t>
  </si>
  <si>
    <t xml:space="preserve">保存素材で光を封じる</t>
  </si>
  <si>
    <t xml:space="preserve">光源を包む封入材</t>
  </si>
  <si>
    <t xml:space="preserve">濁りを除き光を通す</t>
  </si>
  <si>
    <t xml:space="preserve">動物性素材の活用先</t>
  </si>
  <si>
    <t xml:space="preserve">浸透素材で匂いを拡散</t>
  </si>
  <si>
    <t xml:space="preserve">★人名T4。百年の眠りと謳われる</t>
  </si>
  <si>
    <t xml:space="preserve">鎮静成分だけを抜き出す</t>
  </si>
  <si>
    <t xml:space="preserve">香りの担体</t>
  </si>
  <si>
    <t xml:space="preserve">体温を下げ眠りを深くする</t>
  </si>
  <si>
    <t xml:space="preserve">効き目を確実にする</t>
  </si>
  <si>
    <t xml:space="preserve">防護素材（雲母片岩・イワノボリツル）</t>
  </si>
  <si>
    <t xml:space="preserve">凝固薬で皮膜化</t>
  </si>
  <si>
    <t xml:space="preserve">中和素材（ベニテングダマシ・キリンノナミダ）</t>
  </si>
  <si>
    <t xml:space="preserve">鉱物粉を担体に</t>
  </si>
  <si>
    <t xml:space="preserve">ミツユキソウ（固定）</t>
  </si>
  <si>
    <t xml:space="preserve">浸透性の水質で紙に定着（草木の朝露等）</t>
  </si>
  <si>
    <t xml:space="preserve">★人名T3。浮遊素材を煮出す</t>
  </si>
  <si>
    <t xml:space="preserve">軽さを与える</t>
  </si>
  <si>
    <t xml:space="preserve">軟膏の基材</t>
  </si>
  <si>
    <t xml:space="preserve">効果を安定させる</t>
  </si>
  <si>
    <t xml:space="preserve">★人名T3。思考を澄ませる</t>
  </si>
  <si>
    <t xml:space="preserve">神秘成分のみを抽出</t>
  </si>
  <si>
    <t xml:space="preserve">魔力回路を広げる</t>
  </si>
  <si>
    <t xml:space="preserve">集中力を引き上げる</t>
  </si>
  <si>
    <t xml:space="preserve">【T0】地熱帯の硫黄水を蒸留。※蒸留水より先に判定すること</t>
  </si>
  <si>
    <t xml:space="preserve">【T0】深層の塩水を干す。煮ると苦味が残る</t>
  </si>
  <si>
    <t xml:space="preserve">【T0】錆び鉄鉱。※鉱石粉より先に判定すること</t>
  </si>
  <si>
    <t xml:space="preserve">【T0】植物なら何でも可。最も安価な加工品</t>
  </si>
  <si>
    <t xml:space="preserve">【T0】鉱物なら何でも可</t>
  </si>
  <si>
    <t xml:space="preserve">【T0】動物性素材を焼く</t>
  </si>
  <si>
    <t xml:space="preserve">【T0】菌類を寝かせる</t>
  </si>
  <si>
    <t xml:space="preserve">【T0】植物かつ治癒（イバラアザミ・ハッカガヤ・ニガヨモギモドキ）</t>
  </si>
  <si>
    <t xml:space="preserve">【T1】</t>
  </si>
  <si>
    <t xml:space="preserve">水質で煮出す</t>
  </si>
  <si>
    <t xml:space="preserve">【T1】保存特性の動物性素材</t>
  </si>
  <si>
    <t xml:space="preserve">【T1】ツギハギヘビの抜け殻を煮詰める</t>
  </si>
  <si>
    <t xml:space="preserve">灰汁で分解を助ける</t>
  </si>
  <si>
    <t xml:space="preserve">浸透特性の植物の香りを移す</t>
  </si>
  <si>
    <t xml:space="preserve">【T1】解毒素材を煮出す</t>
  </si>
  <si>
    <t xml:space="preserve">浸透溶媒で濃縮</t>
  </si>
  <si>
    <t xml:space="preserve">【T1】毒素材を溶かし込む</t>
  </si>
  <si>
    <t xml:space="preserve">純化水なら無臭・無色になる</t>
  </si>
  <si>
    <t xml:space="preserve">【T1】神秘素材を挽く</t>
  </si>
  <si>
    <t xml:space="preserve">鉱石粉と混ぜて安定させる</t>
  </si>
  <si>
    <t xml:space="preserve">麹で発酵を整える</t>
  </si>
  <si>
    <t xml:space="preserve">固めて半固形に</t>
  </si>
  <si>
    <t xml:space="preserve">塩を溶かして練り合わせる</t>
  </si>
  <si>
    <t xml:space="preserve">【T1】鎮静素材を煮出す</t>
  </si>
  <si>
    <t xml:space="preserve">蒸留水を溶媒に</t>
  </si>
  <si>
    <t xml:space="preserve">【T1】興奮素材を煮出す</t>
  </si>
  <si>
    <t xml:space="preserve">【T2】</t>
  </si>
  <si>
    <t xml:space="preserve">形を保つ</t>
  </si>
  <si>
    <t xml:space="preserve">基材</t>
  </si>
  <si>
    <t xml:space="preserve">凝固素材を粉に</t>
  </si>
  <si>
    <t xml:space="preserve">かさ増しの担体</t>
  </si>
  <si>
    <t xml:space="preserve">解毒成分を溶かす</t>
  </si>
  <si>
    <t xml:space="preserve">濃度を整える</t>
  </si>
  <si>
    <t xml:space="preserve">熱を奪う</t>
  </si>
  <si>
    <t xml:space="preserve">【T2】滋養素材を発酵</t>
  </si>
  <si>
    <t xml:space="preserve">度数を上げる</t>
  </si>
  <si>
    <t xml:space="preserve">体の芯まで届かせる</t>
  </si>
  <si>
    <t xml:space="preserve">錠剤に固める</t>
  </si>
  <si>
    <t xml:space="preserve">賦形剤</t>
  </si>
  <si>
    <t xml:space="preserve">微量の毒で感覚を断つ</t>
  </si>
  <si>
    <t xml:space="preserve">速効性を持たせる</t>
  </si>
  <si>
    <t xml:space="preserve">煙を広げる</t>
  </si>
  <si>
    <t xml:space="preserve">【T2】防護素材</t>
  </si>
  <si>
    <t xml:space="preserve">流れ落ちないように</t>
  </si>
  <si>
    <t xml:space="preserve">【T2】毒で虫を殺す</t>
  </si>
  <si>
    <t xml:space="preserve">人体への害を抑える</t>
  </si>
  <si>
    <t xml:space="preserve">腸まで届かせる</t>
  </si>
  <si>
    <t xml:space="preserve">【T2】いわゆる石鹸</t>
  </si>
  <si>
    <t xml:space="preserve">脂と灰汁を反応させる</t>
  </si>
  <si>
    <t xml:space="preserve">塩析して固める</t>
  </si>
  <si>
    <t xml:space="preserve">【T2】不純物は厳禁</t>
  </si>
  <si>
    <t xml:space="preserve">治癒成分だけを取り出す</t>
  </si>
  <si>
    <t xml:space="preserve">涙と同じ濃さに</t>
  </si>
  <si>
    <t xml:space="preserve">【T2】揮発成分を取り出す</t>
  </si>
  <si>
    <t xml:space="preserve">覚醒作用</t>
  </si>
  <si>
    <t xml:space="preserve">刺激臭の担体</t>
  </si>
  <si>
    <t xml:space="preserve">【T2】滋養素材を干す</t>
  </si>
  <si>
    <t xml:space="preserve">日持ちさせる</t>
  </si>
  <si>
    <t xml:space="preserve">塩気で保存性を上げる</t>
  </si>
  <si>
    <t xml:space="preserve">【T3】</t>
  </si>
  <si>
    <t xml:space="preserve">形状保持</t>
  </si>
  <si>
    <t xml:space="preserve">雑味を排した溶媒</t>
  </si>
  <si>
    <t xml:space="preserve">薬効を引き上げる</t>
  </si>
  <si>
    <t xml:space="preserve">中和素材を粉に</t>
  </si>
  <si>
    <t xml:space="preserve">丸薬に</t>
  </si>
  <si>
    <t xml:space="preserve">香として立たせる</t>
  </si>
  <si>
    <t xml:space="preserve">刺激を和らげる</t>
  </si>
  <si>
    <t xml:space="preserve">成分を固定する</t>
  </si>
  <si>
    <t xml:space="preserve">傷口を塞ぐ</t>
  </si>
  <si>
    <t xml:space="preserve">消毒を兼ねる</t>
  </si>
  <si>
    <t xml:space="preserve">刃に留まらせる</t>
  </si>
  <si>
    <t xml:space="preserve">流れ落ち防止</t>
  </si>
  <si>
    <t xml:space="preserve">臭いを消す</t>
  </si>
  <si>
    <t xml:space="preserve">火に対する耐性</t>
  </si>
  <si>
    <t xml:space="preserve">皮膜を作る</t>
  </si>
  <si>
    <t xml:space="preserve">熱を散らす</t>
  </si>
  <si>
    <t xml:space="preserve">【T3】治癒成分のみ抽出</t>
  </si>
  <si>
    <t xml:space="preserve">最上の溶媒</t>
  </si>
  <si>
    <t xml:space="preserve">反応を完成させる</t>
  </si>
  <si>
    <t xml:space="preserve">効き目を底上げ</t>
  </si>
  <si>
    <t xml:space="preserve">眼に触れるため純度が要る</t>
  </si>
  <si>
    <t xml:space="preserve">魔力を通す</t>
  </si>
  <si>
    <t xml:space="preserve">【T3】ニガハシリダケ限定</t>
  </si>
  <si>
    <t xml:space="preserve">即効性</t>
  </si>
  <si>
    <t xml:space="preserve">重さと硬さ</t>
  </si>
  <si>
    <t xml:space="preserve">崩れ防止</t>
  </si>
  <si>
    <r>
      <rPr>
        <sz val="11"/>
        <color theme="1"/>
        <rFont val="Calibri"/>
        <family val="0"/>
        <charset val="1"/>
      </rPr>
      <t xml:space="preserve">★T4 </t>
    </r>
    <r>
      <rPr>
        <sz val="11"/>
        <color theme="1"/>
        <rFont val="Noto Sans CJK SC"/>
        <family val="2"/>
      </rPr>
      <t xml:space="preserve">伝説。全てを受け入れる器</t>
    </r>
  </si>
  <si>
    <t xml:space="preserve">神秘を溶かし込む</t>
  </si>
  <si>
    <t xml:space="preserve">反応の要</t>
  </si>
  <si>
    <t xml:space="preserve">魔力の通り道</t>
  </si>
  <si>
    <t xml:space="preserve">治癒の核</t>
  </si>
  <si>
    <r>
      <rPr>
        <sz val="11"/>
        <color theme="1"/>
        <rFont val="Calibri"/>
        <family val="0"/>
        <charset val="1"/>
      </rPr>
      <t xml:space="preserve">★T4 </t>
    </r>
    <r>
      <rPr>
        <sz val="11"/>
        <color theme="1"/>
        <rFont val="Noto Sans CJK SC"/>
        <family val="2"/>
      </rPr>
      <t xml:space="preserve">伝説。金を生むと謳われた水</t>
    </r>
  </si>
  <si>
    <t xml:space="preserve">卑金属を溶かす</t>
  </si>
  <si>
    <t xml:space="preserve">変性の媒介</t>
  </si>
  <si>
    <t xml:space="preserve">変成を促す</t>
  </si>
  <si>
    <t xml:space="preserve">変化を固定する</t>
  </si>
  <si>
    <r>
      <rPr>
        <sz val="11"/>
        <color theme="1"/>
        <rFont val="Calibri"/>
        <family val="0"/>
        <charset val="1"/>
      </rPr>
      <t xml:space="preserve">★T4 </t>
    </r>
    <r>
      <rPr>
        <sz val="11"/>
        <color theme="1"/>
        <rFont val="Noto Sans CJK SC"/>
        <family val="2"/>
      </rPr>
      <t xml:space="preserve">伝説。一滴で足りるという</t>
    </r>
  </si>
  <si>
    <t xml:space="preserve">毒性のみを抽出</t>
  </si>
  <si>
    <t xml:space="preserve">臭いと色を消す</t>
  </si>
  <si>
    <t xml:space="preserve">水と見分けがつかなくなる</t>
  </si>
  <si>
    <t xml:space="preserve">即効性を与える</t>
  </si>
  <si>
    <r>
      <rPr>
        <sz val="11"/>
        <color theme="1"/>
        <rFont val="Calibri"/>
        <family val="0"/>
        <charset val="1"/>
      </rPr>
      <t xml:space="preserve">★T4 </t>
    </r>
    <r>
      <rPr>
        <sz val="11"/>
        <color theme="1"/>
        <rFont val="Noto Sans CJK SC"/>
        <family val="2"/>
      </rPr>
      <t xml:space="preserve">伝説。傷も病も退けたという</t>
    </r>
  </si>
  <si>
    <t xml:space="preserve">神秘を宿す</t>
  </si>
  <si>
    <t xml:space="preserve">祝福の源</t>
  </si>
  <si>
    <t xml:space="preserve">清めの塩</t>
  </si>
  <si>
    <r>
      <rPr>
        <sz val="11"/>
        <color theme="1"/>
        <rFont val="Calibri"/>
        <family val="0"/>
        <charset val="1"/>
      </rPr>
      <t xml:space="preserve">★T4 </t>
    </r>
    <r>
      <rPr>
        <sz val="11"/>
        <color theme="1"/>
        <rFont val="Noto Sans CJK SC"/>
        <family val="2"/>
      </rPr>
      <t xml:space="preserve">伝説。百年寝かせたと称される</t>
    </r>
  </si>
  <si>
    <t xml:space="preserve">滋養を発酵で引き出す</t>
  </si>
  <si>
    <t xml:space="preserve">熟成を早める</t>
  </si>
  <si>
    <t xml:space="preserve">時を留める</t>
  </si>
  <si>
    <r>
      <rPr>
        <sz val="11"/>
        <color theme="1"/>
        <rFont val="Calibri"/>
        <family val="0"/>
        <charset val="1"/>
      </rPr>
      <t xml:space="preserve">★T4 </t>
    </r>
    <r>
      <rPr>
        <sz val="11"/>
        <color theme="1"/>
        <rFont val="Noto Sans CJK SC"/>
        <family val="2"/>
      </rPr>
      <t xml:space="preserve">伝説。鱗をも侵すという</t>
    </r>
  </si>
  <si>
    <t xml:space="preserve">毒の本体</t>
  </si>
  <si>
    <t xml:space="preserve">刃を傷めない</t>
  </si>
  <si>
    <t xml:space="preserve">気配を消す</t>
  </si>
  <si>
    <t xml:space="preserve">浸透を速める</t>
  </si>
  <si>
    <r>
      <rPr>
        <sz val="11"/>
        <color theme="1"/>
        <rFont val="Calibri"/>
        <family val="0"/>
        <charset val="1"/>
      </rPr>
      <t xml:space="preserve">★T4 </t>
    </r>
    <r>
      <rPr>
        <sz val="11"/>
        <color theme="1"/>
        <rFont val="Noto Sans CJK SC"/>
        <family val="2"/>
      </rPr>
      <t xml:space="preserve">伝説。見た夢が当たるという</t>
    </r>
  </si>
  <si>
    <t xml:space="preserve">神秘を香に移す</t>
  </si>
  <si>
    <t xml:space="preserve">煙として立ち上る</t>
  </si>
  <si>
    <t xml:space="preserve">幻視を導く</t>
  </si>
  <si>
    <r>
      <rPr>
        <sz val="11"/>
        <color theme="1"/>
        <rFont val="Calibri"/>
        <family val="0"/>
        <charset val="1"/>
      </rPr>
      <t xml:space="preserve">★T4 </t>
    </r>
    <r>
      <rPr>
        <sz val="11"/>
        <color theme="1"/>
        <rFont val="Noto Sans CJK SC"/>
        <family val="2"/>
      </rPr>
      <t xml:space="preserve">伝説。あらゆる症状に効くとされる</t>
    </r>
  </si>
  <si>
    <t xml:space="preserve">毒を退ける</t>
  </si>
  <si>
    <t xml:space="preserve">傷を癒す</t>
  </si>
  <si>
    <t xml:space="preserve">魔力性の病に対応</t>
  </si>
  <si>
    <t xml:space="preserve">全ての反応を束ねる</t>
  </si>
  <si>
    <t xml:space="preserve">★人名T3。防護素材を溶かす</t>
  </si>
  <si>
    <t xml:space="preserve">硬さと重さを与える</t>
  </si>
  <si>
    <t xml:space="preserve">皮膜を張る</t>
  </si>
  <si>
    <t xml:space="preserve">定着を促す</t>
  </si>
  <si>
    <t xml:space="preserve">★人名T3。刃を鍛えるための水</t>
  </si>
  <si>
    <t xml:space="preserve">鉄を馴染ませる</t>
  </si>
  <si>
    <t xml:space="preserve">組織を安定させる</t>
  </si>
  <si>
    <t xml:space="preserve">一気に冷やして硬さを固定</t>
  </si>
  <si>
    <t xml:space="preserve">【中級】色の濃い植物を煮出す</t>
  </si>
  <si>
    <t xml:space="preserve">灰汁で色を定着させる</t>
  </si>
  <si>
    <t xml:space="preserve">【中級】黒の顔料</t>
  </si>
  <si>
    <t xml:space="preserve">紙に定着させる</t>
  </si>
  <si>
    <t xml:space="preserve">【中級】</t>
  </si>
  <si>
    <t xml:space="preserve">不純物を吸わせ煤を減らす</t>
  </si>
  <si>
    <t xml:space="preserve">玉に固める</t>
  </si>
  <si>
    <t xml:space="preserve">【中級】刺激の強い素材を粉に</t>
  </si>
  <si>
    <t xml:space="preserve">かさを増して撒きやすく</t>
  </si>
  <si>
    <t xml:space="preserve">粘りを強める</t>
  </si>
  <si>
    <t xml:space="preserve">保存特性で水を弾く膜に</t>
  </si>
  <si>
    <t xml:space="preserve">【中級】ウロコモドキの硬い傘</t>
  </si>
  <si>
    <t xml:space="preserve">粒度を整える</t>
  </si>
  <si>
    <t xml:space="preserve">塩気で喉を守る</t>
  </si>
  <si>
    <t xml:space="preserve">薄めて使う</t>
  </si>
  <si>
    <t xml:space="preserve">患部に効かせる</t>
  </si>
  <si>
    <t xml:space="preserve">布に貼り付ける</t>
  </si>
  <si>
    <t xml:space="preserve">【中級】咳を鎮める</t>
  </si>
  <si>
    <t xml:space="preserve">喉の奥まで届かせる</t>
  </si>
  <si>
    <t xml:space="preserve">粘膜を保護する</t>
  </si>
  <si>
    <t xml:space="preserve">全身に回して汗を出させる</t>
  </si>
  <si>
    <t xml:space="preserve">【中級】毒を抜く</t>
  </si>
  <si>
    <t xml:space="preserve">塗り薬の基材</t>
  </si>
  <si>
    <t xml:space="preserve">痒みを冷やす</t>
  </si>
  <si>
    <t xml:space="preserve">不純物のない水で薄める</t>
  </si>
  <si>
    <t xml:space="preserve">【中級】研磨材</t>
  </si>
  <si>
    <t xml:space="preserve">歯茎を引き締める</t>
  </si>
  <si>
    <t xml:space="preserve">口中を清める</t>
  </si>
  <si>
    <t xml:space="preserve">【中級】臭いを吸う</t>
  </si>
  <si>
    <t xml:space="preserve">乾かして袋に詰める</t>
  </si>
  <si>
    <t xml:space="preserve">塩を擦り込む</t>
  </si>
  <si>
    <t xml:space="preserve">日持ちを延ばす</t>
  </si>
  <si>
    <t xml:space="preserve">カビの元を分離させる</t>
  </si>
  <si>
    <t xml:space="preserve">【中級】獣を寄せる匂い</t>
  </si>
  <si>
    <t xml:space="preserve">発酵を進める</t>
  </si>
  <si>
    <t xml:space="preserve">傷まないようにする</t>
  </si>
  <si>
    <t xml:space="preserve">冷気を閉じ込める</t>
  </si>
  <si>
    <t xml:space="preserve">硫黄華を気化させる</t>
  </si>
  <si>
    <t xml:space="preserve">鎮静成分を気化させる</t>
  </si>
  <si>
    <t xml:space="preserve">揮発を助ける</t>
  </si>
  <si>
    <t xml:space="preserve">神秘の光を気体に移す</t>
  </si>
  <si>
    <t xml:space="preserve">毒成分を気化させる</t>
  </si>
  <si>
    <t xml:space="preserve">気化を促す</t>
  </si>
  <si>
    <t xml:space="preserve">酒精を飛ばす</t>
  </si>
  <si>
    <t xml:space="preserve">解毒成分を含ませる</t>
  </si>
  <si>
    <t xml:space="preserve">【遺物】錆びた釘の赤錆を挽く</t>
  </si>
  <si>
    <t xml:space="preserve">灰汁で発色を安定させる</t>
  </si>
  <si>
    <t xml:space="preserve">【遺物】古銭に浮いた緑青</t>
  </si>
  <si>
    <t xml:space="preserve">酒精で緑青を溶き出す</t>
  </si>
  <si>
    <t xml:space="preserve">【遺物】鉛の錘を削る。扱いに注意</t>
  </si>
  <si>
    <t xml:space="preserve">酸で白く変質させる</t>
  </si>
  <si>
    <t xml:space="preserve">【遺物】素焼きの陶片を焼き締める</t>
  </si>
  <si>
    <t xml:space="preserve">吸湿力を高める</t>
  </si>
  <si>
    <t xml:space="preserve">【遺物】熱と力をよく通す銅</t>
  </si>
  <si>
    <t xml:space="preserve">魔力を通す道に変える</t>
  </si>
  <si>
    <t xml:space="preserve">不純物を排して伝導を保つ</t>
  </si>
  <si>
    <t xml:space="preserve">【遺物】鏡の破片</t>
  </si>
  <si>
    <t xml:space="preserve">裏に銀を敷く</t>
  </si>
  <si>
    <t xml:space="preserve">曇りを落とす</t>
  </si>
  <si>
    <t xml:space="preserve">【遺物】香炉に染みた香を呼び戻す</t>
  </si>
  <si>
    <t xml:space="preserve">※ 同じ result の行をまとめてJS変換。checkType に応じて value に適切なIDを入力（値リストシート参照）。checkType2/value2 は省略可（AND条件）。</t>
  </si>
  <si>
    <r>
      <rPr>
        <b val="true"/>
        <sz val="11"/>
        <rFont val="Cambria"/>
        <family val="0"/>
        <charset val="1"/>
      </rPr>
      <t xml:space="preserve">RecipeHints</t>
    </r>
    <r>
      <rPr>
        <b val="true"/>
        <sz val="11"/>
        <rFont val="Noto Sans CJK SC"/>
        <family val="2"/>
      </rPr>
      <t xml:space="preserve">（調合のヒント）　―　</t>
    </r>
    <r>
      <rPr>
        <b val="true"/>
        <sz val="11"/>
        <rFont val="Cambria"/>
        <family val="0"/>
        <charset val="1"/>
      </rPr>
      <t xml:space="preserve">1</t>
    </r>
    <r>
      <rPr>
        <b val="true"/>
        <sz val="11"/>
        <rFont val="Noto Sans CJK SC"/>
        <family val="2"/>
      </rPr>
      <t xml:space="preserve">行＝</t>
    </r>
    <r>
      <rPr>
        <b val="true"/>
        <sz val="11"/>
        <rFont val="Cambria"/>
        <family val="0"/>
        <charset val="1"/>
      </rPr>
      <t xml:space="preserve">1</t>
    </r>
    <r>
      <rPr>
        <b val="true"/>
        <sz val="11"/>
        <rFont val="Noto Sans CJK SC"/>
        <family val="2"/>
      </rPr>
      <t xml:space="preserve">枚の紙片。同じ </t>
    </r>
    <r>
      <rPr>
        <b val="true"/>
        <sz val="11"/>
        <rFont val="Cambria"/>
        <family val="0"/>
        <charset val="1"/>
      </rPr>
      <t xml:space="preserve">result </t>
    </r>
    <r>
      <rPr>
        <b val="true"/>
        <sz val="11"/>
        <rFont val="Noto Sans CJK SC"/>
        <family val="2"/>
      </rPr>
      <t xml:space="preserve">に何枚あってもよい</t>
    </r>
  </si>
  <si>
    <r>
      <rPr>
        <b val="true"/>
        <sz val="11"/>
        <rFont val="Cambria"/>
        <family val="0"/>
        <charset val="1"/>
      </rPr>
      <t xml:space="preserve">result
</t>
    </r>
    <r>
      <rPr>
        <b val="true"/>
        <sz val="11"/>
        <rFont val="Noto Sans CJK SC"/>
        <family val="2"/>
      </rPr>
      <t xml:space="preserve">対象レシピ名</t>
    </r>
  </si>
  <si>
    <r>
      <rPr>
        <b val="true"/>
        <sz val="11"/>
        <rFont val="Cambria"/>
        <family val="0"/>
        <charset val="1"/>
      </rPr>
      <t xml:space="preserve">hintNo
</t>
    </r>
    <r>
      <rPr>
        <b val="true"/>
        <sz val="11"/>
        <rFont val="Noto Sans CJK SC"/>
        <family val="2"/>
      </rPr>
      <t xml:space="preserve">同一レシピ内の
通し番号</t>
    </r>
  </si>
  <si>
    <r>
      <rPr>
        <b val="true"/>
        <sz val="11"/>
        <rFont val="Cambria"/>
        <family val="0"/>
        <charset val="1"/>
      </rPr>
      <t xml:space="preserve">source
</t>
    </r>
    <r>
      <rPr>
        <b val="true"/>
        <sz val="11"/>
        <rFont val="Noto Sans CJK SC"/>
        <family val="2"/>
      </rPr>
      <t xml:space="preserve">出所 ▼</t>
    </r>
  </si>
  <si>
    <r>
      <rPr>
        <b val="true"/>
        <sz val="11"/>
        <rFont val="Cambria"/>
        <family val="0"/>
        <charset val="1"/>
      </rPr>
      <t xml:space="preserve">title
</t>
    </r>
    <r>
      <rPr>
        <b val="true"/>
        <sz val="11"/>
        <rFont val="Noto Sans CJK SC"/>
        <family val="2"/>
      </rPr>
      <t xml:space="preserve">紙片の見出し</t>
    </r>
  </si>
  <si>
    <r>
      <rPr>
        <b val="true"/>
        <sz val="11"/>
        <rFont val="Cambria"/>
        <family val="0"/>
        <charset val="1"/>
      </rPr>
      <t xml:space="preserve">text
</t>
    </r>
    <r>
      <rPr>
        <b val="true"/>
        <sz val="11"/>
        <rFont val="Noto Sans CJK SC"/>
        <family val="2"/>
      </rPr>
      <t xml:space="preserve">本文</t>
    </r>
  </si>
  <si>
    <r>
      <rPr>
        <b val="true"/>
        <sz val="11"/>
        <rFont val="Cambria"/>
        <family val="0"/>
        <charset val="1"/>
      </rPr>
      <t xml:space="preserve">reliability
</t>
    </r>
    <r>
      <rPr>
        <b val="true"/>
        <sz val="11"/>
        <rFont val="Noto Sans CJK SC"/>
        <family val="2"/>
      </rPr>
      <t xml:space="preserve">確度 ▼</t>
    </r>
  </si>
  <si>
    <r>
      <rPr>
        <b val="true"/>
        <sz val="11"/>
        <rFont val="Cambria"/>
        <family val="0"/>
        <charset val="1"/>
      </rPr>
      <t xml:space="preserve">unlock
</t>
    </r>
    <r>
      <rPr>
        <b val="true"/>
        <sz val="11"/>
        <rFont val="Noto Sans CJK SC"/>
        <family val="2"/>
      </rPr>
      <t xml:space="preserve">解明すると手に入る
レシピ名を書く
空欄＝最初から所持</t>
    </r>
  </si>
  <si>
    <t xml:space="preserve">手書きメモ</t>
  </si>
  <si>
    <t xml:space="preserve">湯気の雫</t>
  </si>
  <si>
    <t xml:space="preserve">祖母はまず必ず水を火にかけた。鍋に蓋をして、伝ってくる雫だけを別の器に集める。水はどこの水でもいい、濁っていても構わないと言っていた。「これをやらずに薬を作る奴は、泥水で顔を洗うようなものだ」</t>
  </si>
  <si>
    <t xml:space="preserve">確か</t>
  </si>
  <si>
    <t xml:space="preserve">深さ0：主人公の回想</t>
  </si>
  <si>
    <t xml:space="preserve">竈の始末</t>
  </si>
  <si>
    <t xml:space="preserve">燃やしたあとの灰を、祖母は決して捨てなかった。とくに、乾いた地面に生える一年中枯れたような茶色い草はよく燃えると言って、いつも引き抜いてきた。</t>
  </si>
  <si>
    <t xml:space="preserve">石臼の音</t>
  </si>
  <si>
    <t xml:space="preserve">石臼の重い音は、子供の頃の家の音だった。河原でも岩場でも、拾ってきた石を根気よく挽いて粉にしてしまう。石なら何でもよかったらしい。</t>
  </si>
  <si>
    <t xml:space="preserve">黒くなるまで</t>
  </si>
  <si>
    <t xml:space="preserve">獣や魚から採ったものを炉に入れて、真っ黒になるまで焼いていた。川で採れる鱗だったか、夜の草むらで拾った獣の皮だったか。何に使うのか聞いたら「臭いを吸わせるのさ」と答えた、気がする。</t>
  </si>
  <si>
    <t xml:space="preserve">曖昧</t>
  </si>
  <si>
    <t xml:space="preserve">桶を暗いところへ</t>
  </si>
  <si>
    <t xml:space="preserve">茸を桶に入れて、暗い場所に置いておく。落ち葉の下から採ってきたありふれた茸で十分だと言っていた。数日で表に白い粉を吹く。あれが酒の元になる。</t>
  </si>
  <si>
    <t xml:space="preserve">生のまま挽くな</t>
  </si>
  <si>
    <t xml:space="preserve">傷に効く草は、生のまま挽いてはいけない。必ず先に乾かす。朝の草むらで摘んだ棘だらけの草を、軒下に吊るしていた。「水気が残ると効きが逃げる」と言っていたと思う。</t>
  </si>
  <si>
    <t xml:space="preserve">煮ると苦くなる</t>
  </si>
  <si>
    <t xml:space="preserve">潮だまりから汲んでくる、やけに塩辛い水。祖母はそれを火にかけず、天日に置いた。煮ると苦くなるのだと。待つのが仕事だと言われて、ひどく退屈だった。</t>
  </si>
  <si>
    <t xml:space="preserve">臭い湯の湯気</t>
  </si>
  <si>
    <t xml:space="preserve">湯の湧く土地まで、半日かけて水を汲みに行った。鼻を突く匂いのする水だ。持ち帰って蒸留にかけると、黄色い粉だけが残る。指でつまんで匂いを嗅がされた覚えがある。</t>
  </si>
  <si>
    <t xml:space="preserve">錆びているほどよい</t>
  </si>
  <si>
    <t xml:space="preserve">洞窟の岩肌を走る赤茶けた筋から、錆びた塊を掘ってくる。錆びているほどいいのだと言いながら挽いていた。廃屋の朽ちた金具からも同じものが採れた。</t>
  </si>
  <si>
    <t xml:space="preserve">祖母の手当て</t>
  </si>
  <si>
    <t xml:space="preserve">膝を擦りむいて泣いていると、祖母は朝の草むらまで行って棘のある草を摘んできた。それを鍋で煮て、水でのばして塗ってくれた。青くさい匂いを今でも覚えている。</t>
  </si>
  <si>
    <t xml:space="preserve">匙で掬える水</t>
  </si>
  <si>
    <t xml:space="preserve">水を煮ながら、粘るものを放り込んでいた。松の根元の地面を掘って出てくる、糸を引く茸だったと思う。冷めると鍋の中身が匙で掬えるようになっていて、覗き込んで驚いた。</t>
  </si>
  <si>
    <t xml:space="preserve">よく染みる水</t>
  </si>
  <si>
    <t xml:space="preserve">染み込む性質のものを先に蒸留して、そこへ草を溶かし込む。朝の草むらに生える、夜のうちに歩き回るという茸を使っていた気がする。これで作った薬はよく効くのだと、めずらしく自慢していた。</t>
  </si>
  <si>
    <t xml:space="preserve">傷ませない液</t>
  </si>
  <si>
    <t xml:space="preserve">保つ力のあるものを煮て、そこに石を溶かす。落ち葉の下のありふれた茸でよかったはずだ。この液に浸けておけば、遠出の前に摘んだ草も萎びなかった。</t>
  </si>
  <si>
    <t xml:space="preserve">叱られた泥水</t>
  </si>
  <si>
    <t xml:space="preserve">ぬかるみに溜まった雨水を捨てようとして、こっぴどく叱られた。あれを寝かせて、茸を放り込んでおくのだという。臭いは、思い出したくない。</t>
  </si>
  <si>
    <t xml:space="preserve">祭りの前に</t>
  </si>
  <si>
    <t xml:space="preserve">祭りの前になると作っていた。夜、落ち葉をかき分けて探す細い茸。ありふれた苦い茸に紛れていて、じっと見ていないと見失う。すりつぶして、煮た水に溶かす。飲むと本当に足が速くなった気がした。</t>
  </si>
  <si>
    <t xml:space="preserve">順番が大事</t>
  </si>
  <si>
    <t xml:space="preserve">毒草を食んだ牛が出ると、祖母はまず解毒の茸を煮た。腐った倒木に群れて生える、ぬめりのあるやつだ。そのあとで、打ち消す力を持つものを加える。順番が大事なのだと念を押された。</t>
  </si>
  <si>
    <t xml:space="preserve">眠れない夜に</t>
  </si>
  <si>
    <t xml:space="preserve">眠れないと言うと、夜明けの草むらへ行って、葉の縁に大きな雫を溜めている草を摘んできた。煮て、固まるものと水を合わせ、小さな丸に丸めてくれた。ひどく苦かった。</t>
  </si>
  <si>
    <t xml:space="preserve">祖父の鼻先で</t>
  </si>
  <si>
    <t xml:space="preserve">夜の草むらや廃屋の隅に落ちている、針だらけの小さな皮。あれを挽いて、揮発するものと合わせる。眠りこけた祖父の鼻先で栓を抜き、飛び起きるのを見て笑った。</t>
  </si>
  <si>
    <t xml:space="preserve">効きが居座る</t>
  </si>
  <si>
    <t xml:space="preserve">力の出るものを煮て、染み込む性質のものを混ぜ、最後に必ずあの重く渋い水を足していた。洞窟の鉱脈から滲み出る、大地の血のような水だ。これで効きが居座るのだと。</t>
  </si>
  <si>
    <t xml:space="preserve">薄い膜のような煙</t>
  </si>
  <si>
    <t xml:space="preserve">守りの力を持つものを干して、揮発するもの、それに乾いた地面から抜いてくるあの茶色い草を合わせる。焚くと薄い煙が体を包んだ。</t>
  </si>
  <si>
    <t xml:space="preserve">棚の奥のもの</t>
  </si>
  <si>
    <t xml:space="preserve">棚のいちばん奥にあった。淀んだ水辺に八方へうねって伸びる蔓、あれを挽いて、粘るものと合わせるらしい。触ろうとしたときだけは、本気で叱られた。</t>
  </si>
  <si>
    <t xml:space="preserve">溶けない氷</t>
  </si>
  <si>
    <t xml:space="preserve">残雪の際や、洞窟の鍾乳石の根元に転がっている半透明の石。触るといつも冷たい。それを凍らせて、水をまとわせる。懐に入れても溶けないのが不思議で、その夏じゅう持ち歩いていた。</t>
  </si>
  <si>
    <t xml:space="preserve">風上で使うな</t>
  </si>
  <si>
    <t xml:space="preserve">獣から採ったものを発酵させ、匂いの広がるものを混ぜる。猟師によく売れていた。風上で栓を抜いてしまい、三日は着物が臭った。</t>
  </si>
  <si>
    <t xml:space="preserve">魚を捌いた手に</t>
  </si>
  <si>
    <t xml:space="preserve">打ち消す力のあるものを干して、石の粉と一緒に挽く。落ち葉の下に生える、毒茸そっくりで毒のないやつを使っていた。魚を捌いたあとの手に振りかけると、匂いがすっと消えた。</t>
  </si>
  <si>
    <t xml:space="preserve">灯を消しても</t>
  </si>
  <si>
    <t xml:space="preserve">雪解けの短い間だけ、高いところの残雪の際に白い花が咲く。それを溶かして、染み込む性質の水と混ぜる。書いた字は、灯を消しても薄く光っていた。</t>
  </si>
  <si>
    <t xml:space="preserve">塗り薬の土台</t>
  </si>
  <si>
    <t xml:space="preserve">獣から脂を煮出して、水でのばす。倒木の陰にいる、怒ると煙を吹くという獣の毛を使っていた。塗り薬はぜんぶこれが土台なのだと教わった。その日は台所じゅうが獣臭かった。</t>
  </si>
  <si>
    <t xml:space="preserve">栓を抜くな</t>
  </si>
  <si>
    <t xml:space="preserve">鎮める草を蒸留して、揮発するものを添え、硝子の瓶に封じる。夜明けの草むらで雫を溜めているあの草だった。栓を抜くなと、何度も言われた。</t>
  </si>
  <si>
    <t xml:space="preserve">熱くない灯り</t>
  </si>
  <si>
    <t xml:space="preserve">洞窟の奥の暗がりでしか採れない、微かに光る牙。あれを蒸留して、揮発するものと合わせ、瓶に閉じ込める。青白く光るのに、瓶は少しも熱くならなかった。</t>
  </si>
  <si>
    <t xml:space="preserve">もらったメモ</t>
  </si>
  <si>
    <t xml:space="preserve">酒屋の親父から</t>
  </si>
  <si>
    <t xml:space="preserve">雨の溜まった泥水を捨てるな。あれに茸を放り込んで寝かせておくと、とんでもなく強い酛になる。臭いは保証せんがね。</t>
  </si>
  <si>
    <r>
      <rPr>
        <sz val="11"/>
        <color theme="1"/>
        <rFont val="Calibri"/>
        <family val="0"/>
        <charset val="1"/>
      </rPr>
      <t xml:space="preserve">NPC</t>
    </r>
    <r>
      <rPr>
        <sz val="11"/>
        <color theme="1"/>
        <rFont val="Noto Sans CJK SC"/>
        <family val="2"/>
      </rPr>
      <t xml:space="preserve">から貰う想定</t>
    </r>
  </si>
  <si>
    <t xml:space="preserve">書籍のページの写し</t>
  </si>
  <si>
    <t xml:space="preserve">『植物誌』第四巻より</t>
  </si>
  <si>
    <t xml:space="preserve">沼地に生ずる黒き茸、その汁は反応の遅き物同士を強いて結びつく。これを酛に和すれば、成らざるものも成るという。</t>
  </si>
  <si>
    <t xml:space="preserve">書物由来。やや古い言い回し</t>
  </si>
  <si>
    <t xml:space="preserve">祖母の手書きの考察</t>
  </si>
  <si>
    <t xml:space="preserve">何度目かの失敗について</t>
  </si>
  <si>
    <t xml:space="preserve">また濁った。超純水も霊銀砂も揃えたのに、あと一歩が足りない。……思うに、私は「静かにすぎる」のかもしれない。この薬は思考を速める薬だ。ならば速める側の力を、もう一つ加えるべきではないか。</t>
  </si>
  <si>
    <t xml:space="preserve">誤りを含む</t>
  </si>
  <si>
    <t xml:space="preserve">祖母が解けなかったレシピ。結論は正しいが素材は特定できていない</t>
  </si>
  <si>
    <t xml:space="preserve">マルグレーテの香について</t>
  </si>
  <si>
    <t xml:space="preserve">伝承では「百年の眠り」と言うが、香を焚いただけで人が百年眠るはずがない。おそらく体を冷やしている。冷たいものを、香に混ぜているのだ。</t>
  </si>
  <si>
    <t xml:space="preserve">冷却晶への示唆</t>
  </si>
  <si>
    <t xml:space="preserve">祖母のメモ</t>
  </si>
  <si>
    <t xml:space="preserve">二度目の水</t>
  </si>
  <si>
    <t xml:space="preserve">蒸留した水に、分ける性のものを溶かす。深いところの塩水でも、砂浜の脆い結晶でも、洞窟の黒い石でもよい。濁りが底に沈む。ここまでやらねば上の薬は作れぬ。</t>
  </si>
  <si>
    <t xml:space="preserve">深さ1：祖母の走り書き</t>
  </si>
  <si>
    <t xml:space="preserve">急かす粉</t>
  </si>
  <si>
    <t xml:space="preserve">触媒の性を持つものを挽き、例の臭い液に入れる。沼の泥から出る黒く平たい茸がいちばん強い。これがあると、待っても起きぬ反応が起きる。</t>
  </si>
  <si>
    <t xml:space="preserve">締まる薬</t>
  </si>
  <si>
    <t xml:space="preserve">安定の効を溶かして、固め液を合わせる。溶岩の裂け目に生える角のような草。塗ると皮が締まる。深い傷には使うな。</t>
  </si>
  <si>
    <t xml:space="preserve">膜を張る</t>
  </si>
  <si>
    <t xml:space="preserve">守りの効を溶かして固め液。岩棚の薄く剥がれる石でよい。皮の上に膜ができる。打たれる用。切られる時には間に合わぬ。</t>
  </si>
  <si>
    <t xml:space="preserve">灰を煮る</t>
  </si>
  <si>
    <t xml:space="preserve">灰を水で煮出すだけ。素手で触るな。前に指の皮が剥けた。</t>
  </si>
  <si>
    <t xml:space="preserve">匂いを移す</t>
  </si>
  <si>
    <t xml:space="preserve">脂に、香りの強い草を溶かす。河原や朝の草むらの、踏むと涼しい匂いのするやつがよく移る。花でも試したが脂が濁った。</t>
  </si>
  <si>
    <t xml:space="preserve">濃くする</t>
  </si>
  <si>
    <t xml:space="preserve">解毒の効を煮て、染みる溶媒に取る。腐った倒木のぬめり茸でよい。そこらの毒ならこれで足りる。強い毒には効かぬ。</t>
  </si>
  <si>
    <t xml:space="preserve">銀の砂</t>
  </si>
  <si>
    <t xml:space="preserve">神秘の効を挽いて、石の粉と混ぜる。残雪の際の白い花がいちばん素直に混ざる。洞窟の光る牙は強すぎて手に負えぬ。</t>
  </si>
  <si>
    <t xml:space="preserve">二度目の火</t>
  </si>
  <si>
    <t xml:space="preserve">臭い液を蒸留し、麹を足して整える。飲むためのものではない。傷を洗うため。じいさんには言うな。</t>
  </si>
  <si>
    <t xml:space="preserve">打ち消す粉</t>
  </si>
  <si>
    <t xml:space="preserve">灰に塩を溶かして練る。中和のものが手元に無い時の代わり。効きは落ちる。無いよりまし。</t>
  </si>
  <si>
    <t xml:space="preserve">静める水</t>
  </si>
  <si>
    <t xml:space="preserve">鎮静の効を煮て、蒸留水に取る。夜明けの草むらで雫を溜めているやつ。濃くしすぎるな。前に隣の婆さんが半日起きなかった。</t>
  </si>
  <si>
    <t xml:space="preserve">起こす水</t>
  </si>
  <si>
    <t xml:space="preserve">興奮の効を煮て、蒸留水に取る。溶岩の原で拾う火花の出る黒石でも、朝の草むらの茸でもよい。飲みすぎると手が震える。</t>
  </si>
  <si>
    <t xml:space="preserve">血止め</t>
  </si>
  <si>
    <t xml:space="preserve">治癒の効を干し、粘るものを挽き、石の粉で嵩を増す。傷口に直に振る。しみると言われるが我慢させること。</t>
  </si>
  <si>
    <t xml:space="preserve">熱を下げる</t>
  </si>
  <si>
    <t xml:space="preserve">治癒の効を煮て、冷えた石を入れ、水でのばす。必ず冷ましてから飲ませる。熱いまま飲ませて怒鳴られたことがある。</t>
  </si>
  <si>
    <t xml:space="preserve">虫除け</t>
  </si>
  <si>
    <t xml:space="preserve">黄の粉を焼き、揮発するものと灰を合わせる。野宿にはこれ。目に染みるから風下に置け。</t>
  </si>
  <si>
    <t xml:space="preserve">日持ちの飯</t>
  </si>
  <si>
    <t xml:space="preserve">滋養の効を干し、保存液と塩。味は諦めろ。腹が減らぬだけましだ。</t>
  </si>
  <si>
    <t xml:space="preserve">煤の出ない油</t>
  </si>
  <si>
    <t xml:space="preserve">脂を煮て、灰を入れる。灰が濁りを吸う。これを使えば天井が黒くならぬ。</t>
  </si>
  <si>
    <t xml:space="preserve">投げる煙</t>
  </si>
  <si>
    <t xml:space="preserve">黄の粉を焼き、粘るもので玉にする。灰を下敷きに。獣に追われた時のため。……使う機会が無いのが一番よい。</t>
  </si>
  <si>
    <t xml:space="preserve">顔に撒く</t>
  </si>
  <si>
    <t xml:space="preserve">興奮の効を挽いて、石の粉と混ぜる。熊よけ。人に使うな。一度でも使えば、この家は薬屋ではなくなる。</t>
  </si>
  <si>
    <t xml:space="preserve">鱗の粉</t>
  </si>
  <si>
    <t xml:space="preserve">岩場や鍾乳石の陰に出る、傘が魚の鱗のように硬いやつ。あれを挽く。並の刃では傷一つ付かぬ硬さだ。石の粉と混ぜて粒を揃える。</t>
  </si>
  <si>
    <t xml:space="preserve">喉を洗う</t>
  </si>
  <si>
    <t xml:space="preserve">解毒の効を煮て、塩と蒸留水。朝と晩。飲み込むなと言い聞かせること。</t>
  </si>
  <si>
    <t xml:space="preserve">咳を止める</t>
  </si>
  <si>
    <t xml:space="preserve">鎮静の効を煮て、染みる溶媒、草の粉。喉に膜を張らせる。夜中の咳によく効く。</t>
  </si>
  <si>
    <t xml:space="preserve">汗を出す</t>
  </si>
  <si>
    <t xml:space="preserve">興奮の効を煮て、染みる溶媒に取る。汗と一緒に熱が抜ける。飲ませたら水をたっぷり。</t>
  </si>
  <si>
    <t xml:space="preserve">痒み止め</t>
  </si>
  <si>
    <t xml:space="preserve">解毒の効を挽いて、脂と冷えた石。塗るとひんやりする。掻くよりましだと言え。</t>
  </si>
  <si>
    <t xml:space="preserve">歯を磨く</t>
  </si>
  <si>
    <t xml:space="preserve">石の粉、塩、草の粉。混ぜるだけ。塩を多くすると歯茎が締まる。子供には草を多めに。</t>
  </si>
  <si>
    <t xml:space="preserve">臭い取り</t>
  </si>
  <si>
    <t xml:space="preserve">黒炭に、保つ性のものを干して合わせ、袋に詰める。厠に吊るせ。ひと月で替えること。</t>
  </si>
  <si>
    <t xml:space="preserve">保たせる</t>
  </si>
  <si>
    <t xml:space="preserve">獣の肉を干し、塩を擦り込み、保存液。冬を越せる。犬に盗られぬよう高いところへ。</t>
  </si>
  <si>
    <t xml:space="preserve">種を守る</t>
  </si>
  <si>
    <t xml:space="preserve">保存液に、分ける性のものを溶かす。蒔くまで黴びぬ。畑跡で採れた大根の種で試して、確かに効いた。</t>
  </si>
  <si>
    <t xml:space="preserve">獣を寄せる</t>
  </si>
  <si>
    <t xml:space="preserve">獣のものを発酵させ、麹と塩。猟師によく売れる。作った日は家に入るな。</t>
  </si>
  <si>
    <t xml:space="preserve">冷えを持たせる</t>
  </si>
  <si>
    <t xml:space="preserve">冷えた石に、保つ性のものを凍らせて合わせる。薬も食い物も保つ。夏の遠出に一つ。</t>
  </si>
  <si>
    <t xml:space="preserve">瓶に閉じる</t>
  </si>
  <si>
    <t xml:space="preserve">黄の粉を蒸留し、硝子の瓶に受ける。虫も獣も逃げていく。栓は蝋で二重にすること。</t>
  </si>
  <si>
    <t xml:space="preserve">湿気取り</t>
  </si>
  <si>
    <t xml:space="preserve">素焼きの欠片を焼き締め、塩を合わせる。薬箱の隅に入れておけ。湿気ると効きが落ちる薬がある。</t>
  </si>
  <si>
    <t xml:space="preserve">『水の書』より</t>
  </si>
  <si>
    <t xml:space="preserve">水を二度蒸すべし。一度蒸したる水を、さらに火にかけて雫を取り、二度目の清め水を和す。何も含まぬがゆえに、何をも受け入るる。秘薬の類、みなこの水より起こる。</t>
  </si>
  <si>
    <t xml:space="preserve">深さ2〜3</t>
  </si>
  <si>
    <t xml:space="preserve">傷跡を残さぬ</t>
  </si>
  <si>
    <t xml:space="preserve">治癒の効を煮て、二度目の水で受ける。ただの水と違って傷跡が残りにくい。金のある家にはこちらを売れ。</t>
  </si>
  <si>
    <t xml:space="preserve">蛇の抜け殻</t>
  </si>
  <si>
    <t xml:space="preserve">草原や荒れ地に落ちている、継ぎ接ぎ模様の蛇の抜け殻。あれを煮詰めて灰汁を足す。乾けば強く固まる。火にかけすぎると二度と戻らぬ。</t>
  </si>
  <si>
    <t xml:space="preserve">『毒草考』第二巻より</t>
  </si>
  <si>
    <t xml:space="preserve">淀みに生ずる蔓、その毒を溶きて、清めたる水に移すべし。無色、無臭となる。これを水と見分くる術なし。用いる者、必ず名を記して封ぜよ。</t>
  </si>
  <si>
    <t xml:space="preserve">垂れぬ油</t>
  </si>
  <si>
    <t xml:space="preserve">香油に固め液を合わせる。塗った所に留まって垂れぬ。塗り薬に流れられては困る時に。</t>
  </si>
  <si>
    <t xml:space="preserve">刃にも傷にも</t>
  </si>
  <si>
    <t xml:space="preserve">酒精に解毒の効を溶かし、蒸留水で薄める。傷にも刃にも使える。しみると泣かれるが、膿むよりましだ。</t>
  </si>
  <si>
    <t xml:space="preserve">力の出るもんを発酵させてから、あんたんとこの酒精を足す。染みる性のもんを一つまみ。これで一杯やると翌朝が違う。……まあ、やりすぎんことだ。</t>
  </si>
  <si>
    <t xml:space="preserve">一粒だけ</t>
  </si>
  <si>
    <t xml:space="preserve">起こす水に、固まるものと草の粉を合わせて丸める。夜通しの仕事に一粒。二粒飲む馬鹿がいるから、数えて渡すこと。</t>
  </si>
  <si>
    <t xml:space="preserve">『薬石便覧』痛みの部より</t>
  </si>
  <si>
    <t xml:space="preserve">静める水に、毒草の効を微かに溶き、染み入る溶媒を加う。痛みを断つに足りて、命を断つに足らざる量を守るべし。この境目、指一本の違いなり。</t>
  </si>
  <si>
    <t xml:space="preserve">虫は死ぬ、人は死なぬ</t>
  </si>
  <si>
    <t xml:space="preserve">毒の効を挽き、解毒の効を煮て、灰汁で腸まで届かせる。虫は死ぬ。人は死なぬ。順番を違えるな。</t>
  </si>
  <si>
    <t xml:space="preserve">家が回る</t>
  </si>
  <si>
    <t xml:space="preserve">灰汁を煮て、脂を溶かし込み、塩で締める。手にも鍋にも使える。これが売れると家が回る。</t>
  </si>
  <si>
    <t xml:space="preserve">涙と同じ濃さ</t>
  </si>
  <si>
    <t xml:space="preserve">目に入れるものだ。二度目の水しか使うな。治癒の効は蒸留して取り、塩で涙と同じ濃さにする。濃くても薄くても痛がる。</t>
  </si>
  <si>
    <t xml:space="preserve">旅の医者から</t>
  </si>
  <si>
    <t xml:space="preserve">揮発するものを蒸留し、起こす水と酒精に合わせよ。倒れた者の鼻先で栓を開ける。それで目を覚まさぬなら、もう気付けの領分ではない。</t>
  </si>
  <si>
    <t xml:space="preserve">『薬石便覧』携行の部より</t>
  </si>
  <si>
    <t xml:space="preserve">解毒の濃汁を核とし、打ち消す性のものを挽きて和し、固め液にて丸ず。草の粉を衣とす。旅に携うるはこの形なり。液は零れ、粉は湿る。</t>
  </si>
  <si>
    <t xml:space="preserve">『薬石便覧』眠りの部より</t>
  </si>
  <si>
    <t xml:space="preserve">静める水に、揮発する物を干して加え、香油にて纏め、打ち消す粉にて角を取る。一夜を確かに断つ。ただし目覚めの重きこと、常の眠りの比にあらず。</t>
  </si>
  <si>
    <t xml:space="preserve">『鏡と光について』より</t>
  </si>
  <si>
    <t xml:space="preserve">神秘の効を蒸して雫を取り、二度目の水に受け、銀の砂を和し、塩にて涙に均す。目に差せば、見えざるものの形を得るという。真偽は、試みたる者の言を待つほかなし。</t>
  </si>
  <si>
    <t xml:space="preserve">飛脚の男から</t>
  </si>
  <si>
    <t xml:space="preserve">あの夜の茸をすり潰して、起こす水と固まるもんで丸めてくれ。あと揮発するもんを一つ。これ噛むと三里は違う。切らされると困るんだ。</t>
  </si>
  <si>
    <t xml:space="preserve">染物屋のばあさんから</t>
  </si>
  <si>
    <t xml:space="preserve">草を煮出したら、必ず灰汁を落とすこと。灰汁を入れんと、洗うたび色が逃げる。何度言うても若い衆は忘れよる。</t>
  </si>
  <si>
    <t xml:space="preserve">割るだけ</t>
  </si>
  <si>
    <t xml:space="preserve">酒精を、蒸留した水で割る。それだけ。濃いままかけると肉が傷む。</t>
  </si>
  <si>
    <t xml:space="preserve">『気体論』下巻より</t>
  </si>
  <si>
    <t xml:space="preserve">毒草の効を蒸して雫を取り、急かす粉を添え、硝子に封ずべし。緑を帯びて瓶の内に凝る。……この頁のみ、分量の記述が二度書き換えられ、いずれも墨で潰されている。</t>
  </si>
  <si>
    <t xml:space="preserve">『気体論』上巻より</t>
  </si>
  <si>
    <t xml:space="preserve">酒精を蒸して気となし、解毒の効を含ませて封ず。病の流行りたる家に一瓶、窓を閉じて焚くべし。空気そのものを洗うと伝う。</t>
  </si>
  <si>
    <t xml:space="preserve">塗師から</t>
  </si>
  <si>
    <t xml:space="preserve">錆びた釘、あれを挽いてくれ。赤錆が多いほどいい。灰汁を足すと色が座る。日に焼けても褪せん赤になる。</t>
  </si>
  <si>
    <t xml:space="preserve">絵師から</t>
  </si>
  <si>
    <t xml:space="preserve">古銭に浮いた緑を、酒精で溶いてほしい。あの緑は他では出せん。ついでに言うと、あれを塗った板は虫が食わん。</t>
  </si>
  <si>
    <t xml:space="preserve">『匠家秘録』顔料の部より</t>
  </si>
  <si>
    <t xml:space="preserve">重き錘を挽き、酒精を和して白を得る。比類なき白なり。肌に塗れば玉のごとし。……欄外に別の手で書き込みあり。「これを顔に塗った奥方が、三年で歯を失った。白は毒である」</t>
  </si>
  <si>
    <t xml:space="preserve">『鏡と光について』遠見の条</t>
  </si>
  <si>
    <t xml:space="preserve">鏡の欠片の裏に銀の砂を溶きて敷き、清めたる水にて曇りを落とす。遠き景を映すという。ただし映るは今の景か、過ぎたる景か、記す者によりて異なる。</t>
  </si>
  <si>
    <t xml:space="preserve">『匠家秘録』香の部より</t>
  </si>
  <si>
    <t xml:space="preserve">香炉の欠片を焼き、香油を纏わせ、灰を下敷きとす。染み付きたる古の香が立ち上る。焚きたる者、忘れたる事を思い出すという。よき事とは限らず。</t>
  </si>
  <si>
    <t xml:space="preserve">『薬石便覧』解毒の部より</t>
  </si>
  <si>
    <t xml:space="preserve">解毒の濃汁を、打ち消す性のものと共に煮て、三度清めたる水に取る。世に知らるる毒のほとんどに応ず。応ぜざる毒あらば、それは毒にあらず、呪いなり。</t>
  </si>
  <si>
    <t xml:space="preserve">垂れて往生する</t>
  </si>
  <si>
    <t xml:space="preserve">治癒の効を煮て、膠と脂で練る。塗りやすさがまるで違う。液の傷薬は垂れて往生する。</t>
  </si>
  <si>
    <t xml:space="preserve">峠を越える者に</t>
  </si>
  <si>
    <t xml:space="preserve">守りの効を溶かし、脂と硬化油。厚く塗る。峠を越える者に売れ。冬場はこれが一番出る。</t>
  </si>
  <si>
    <t xml:space="preserve">急かす粉が要る</t>
  </si>
  <si>
    <t xml:space="preserve">治癒の効を煮て、膠、二度目の水、それに急かす粉。深い傷でも塞がる。急かす粉が要るのが厄介だ。</t>
  </si>
  <si>
    <t xml:space="preserve">傭兵から</t>
  </si>
  <si>
    <t xml:space="preserve">干した治癒のやつと、安定の効を溶かしたもの、膠、それと酒精。塞ぎながら清める。戦場じゃ二度手間は死ぬ。一度で済ませてくれ。</t>
  </si>
  <si>
    <t xml:space="preserve">『毒草考』第五巻より</t>
  </si>
  <si>
    <t xml:space="preserve">毒の濃汁に、凝る性の物を和し、硬化油にて留め、黒炭にて臭を消す。刃に塗りて拭わず。……この術を記すは、防ぐ者のためなり。用いる者のためにあらず。</t>
  </si>
  <si>
    <t xml:space="preserve">『匠家秘録』鍛冶の部より</t>
  </si>
  <si>
    <t xml:space="preserve">守りの効を溶き、黄の粉、硬化油、石の粉を和す。炎に対して厚き膜となる。鍛冶場の者、みなこれを腕に塗る。塗らぬ者の腕を見よ。</t>
  </si>
  <si>
    <t xml:space="preserve">『薬石便覧』秘薬の部より</t>
  </si>
  <si>
    <t xml:space="preserve">治癒の効を蒸して核を取り、三度清めたる水に落とし、急かす粉と草の粉を和す。傷の塞がること、目に見ゆるという。ただし、この記述を確かめ得たる者を、私は知らぬ。</t>
  </si>
  <si>
    <t xml:space="preserve">石工から</t>
  </si>
  <si>
    <t xml:space="preserve">安定の効を挽いて、鉄の粉、固め液、膠で丸める。飲むと体が重くなる。落石のある日はこれを飲んでから入る。動けんが、潰れもせん。</t>
  </si>
  <si>
    <t xml:space="preserve">写字生から</t>
  </si>
  <si>
    <t xml:space="preserve">黒炭を挽いて、膠で練る。膠が多いと乾いて割れる。少ないと滲む。ちょうどのところは、書いてみるまで分からん。</t>
  </si>
  <si>
    <t xml:space="preserve">指に付けるな</t>
  </si>
  <si>
    <t xml:space="preserve">凝る性のものを煮て、膠を足す。乾けば剥がれぬ。指に付けるな。</t>
  </si>
  <si>
    <t xml:space="preserve">長靴に</t>
  </si>
  <si>
    <t xml:space="preserve">硬化油に、保つ性のものを溶かす。布にも革にも効く。長靴に塗ると春まで持つ。</t>
  </si>
  <si>
    <t xml:space="preserve">ぬるくなったら</t>
  </si>
  <si>
    <t xml:space="preserve">冷えた石に、治癒の効を挽いたものを合わせ、膠で布に留める。腫れた所に。ぬるくなったら替えること。</t>
  </si>
  <si>
    <t xml:space="preserve">『鏡と光について』伝導の条</t>
  </si>
  <si>
    <t xml:space="preserve">銅の線に銀の砂を溶き入れ、三度清めたる水にて洗う。力の通り道となる。端から端まで、滞りなく。……何を通すのかは、記されていない。</t>
  </si>
  <si>
    <t xml:space="preserve">煙が濁る</t>
  </si>
  <si>
    <t xml:space="preserve">神秘のものを干して、揮発するものを焼く。ここまでは間違いない。だが煙が濁る。何度やっても濁る。灰を下敷きにしても駄目だった。……もう一つ、濁りを吸うものが要るのではないか。黒く焼いたものは匂いを吸う。ならば濁りも吸うのではないか。灰と炭を両方入れるなど聞いたことがないが、他に思いつかぬ。</t>
  </si>
  <si>
    <t xml:space="preserve">人名：祖母が解けなかった調合</t>
  </si>
  <si>
    <t xml:space="preserve">光が逃げる</t>
  </si>
  <si>
    <t xml:space="preserve">洞窟の光る牙。あれは確かに光る。だが取り出して三日で光を失う。逃げるのだ。保つ性のものを溶かして留めてみたが、それでも半月しか持たぬ。……包むものが足りぬ。油で封じ、水で濁りを落とせば、あるいは。灯守の一族が代々守ったというのは、この封じ方のことではないか。</t>
  </si>
  <si>
    <t xml:space="preserve">二十年止まっている</t>
  </si>
  <si>
    <t xml:space="preserve">浮く性質を持つものは確かにある。川の虫の浮き袋、蛾の粉。だが煮ると効きが飛ぶ。言葉の綾ではない。本当に軽くなって鍋から出ていってしまう。……脂で押さえるべきなのだろう。重いもので蓋をする。だが、それでは軽くならぬのではないか。この矛盾で二十年止まっている。</t>
  </si>
  <si>
    <t xml:space="preserve">どちらかが負ける</t>
  </si>
  <si>
    <t xml:space="preserve">癒しと神秘。この二つを一つの器に入れると、必ずどちらかが負ける。癒しが勝てばただの傷薬、神秘が勝てば何にもならぬ水。……間を取り持つものが要る。銀の砂か、急かす粉か、あるいは両方か。器は三度清めた水でなければ、どちらも溶けきらぬ。ここまで書いて、材料が揃わぬことに気付く。私の代では無理だ。</t>
  </si>
  <si>
    <t xml:space="preserve">元に戻ってしまう</t>
  </si>
  <si>
    <t xml:space="preserve">卑しい金属が貴い金属に変わるという。信じてはいない。だが変わることそのものは起きる。鉄の粉を三度清めた水に溶かし、黄の粉を添えると、確かに色が変わった。……そこで止まる。変わったものが、すぐ元に戻る。変化を留めるものが要る。安定の効か。私は錬金術師ではない、薬屋だ。だが気になって仕方がない。</t>
  </si>
  <si>
    <t xml:space="preserve">作らなかった</t>
  </si>
  <si>
    <t xml:space="preserve">書き残すべきか迷った。だが、知らぬまま作ってしまう者が出るより、知って避ける方がよい。……毒の濃汁をさらに蒸せば、毒だけが残る。黒炭で臭いを消し、清めた水で色を消せば、水と見分けがつかぬ。急かすものを入れれば、飲んだ者は座る間もない。ここまで分かって、私は作らなかった。作れなかったのではない。作らなかった。</t>
  </si>
  <si>
    <t xml:space="preserve">塩の意味</t>
  </si>
  <si>
    <t xml:space="preserve">傷も病も退けたという。奇跡ではあるまい。癒しの核を蒸して取り、三度清めた水に落とす。ここまでは私にもできる。……足りぬのは清めだ。銀の砂と、神秘のもの、それから塩。塩を入れる意味が分からぬまま、伝承はそう言っている。分からぬものを分からぬまま書いておく。いつか分かる者がいるかもしれぬ。</t>
  </si>
  <si>
    <t xml:space="preserve">百年を縮める</t>
  </si>
  <si>
    <t xml:space="preserve">百年寝かせたという。嘘だ。百年も生きた者がどこにいる。……だが百年ぶんの熟成を早めることならできるかもしれぬ。臭い液と急かす粉、この二つは時を縮める。滋養のものを発酵させ、酒精を足し、銀の砂で留める。若返るとは思わぬ。だが飲んだ者が若く見えるくらいのことは、あるかもしれぬ。</t>
  </si>
  <si>
    <t xml:space="preserve">刃が先に駄目になる</t>
  </si>
  <si>
    <t xml:space="preserve">鱗をも侵すという。竜など見たことがないが、硬いものを侵す毒なら心当たりがある。……問題は刃だ。毒が強すぎて、塗った刃が先に駄目になる。安定の効を溶かして刃を守り、硬化油で毒を留め、黒炭で気配を消す。急かす粉で浸透を速める。理屈は通る。作る気にはならぬ。</t>
  </si>
  <si>
    <t xml:space="preserve">夢を運ぶもの</t>
  </si>
  <si>
    <t xml:space="preserve">見た夢が明日を告げるという。眠りの香に神秘のものを混ぜただけではないか、と最初は思った。違った。混ぜても、ただよく眠るだけだ。夢を見ぬ。……夢を運ぶものが要る。香油は香りしか運ばぬ。銀の砂は魔力を通す。ならば夢も通すのではないか。私は夢を見ない質なので、確かめようがない。</t>
  </si>
  <si>
    <t xml:space="preserve">万能ではない、三能だ</t>
  </si>
  <si>
    <t xml:space="preserve">あらゆる症状に効く、という言い方が気に入らぬ。効くものには必ず効かぬものがある。……だが、傷と毒と、魔力の病。この三つに同時に応じる薬なら作れなくもない。癒しの核、解毒の濃汁、銀の砂。三度清めた水にすべてを容れ、急かす粉で束ねる。万能ではない。三能だ。それでも十分すぎる。</t>
  </si>
  <si>
    <t xml:space="preserve">城門は動かぬから強い</t>
  </si>
  <si>
    <t xml:space="preserve">守りの薬は膜を張るだけで、打たれれば結局痛い。……鉄の粉を混ぜてみたら、確かに重く硬くなった。だが剥がれる。硬化油で留めても剥がれる。急かす粉で定着させれば、あるいは。城門のようにと言うが、城門は動かぬから強いのだ。動く人間に同じことができるだろうか。</t>
  </si>
  <si>
    <t xml:space="preserve">礼が魚三匹</t>
  </si>
  <si>
    <t xml:space="preserve">薬ではない。鍛冶屋に頼まれて考えたものだ。……蒸留した水に鉄の粉を溶かし、安定の効を加え、冷えた石で一気に冷ます。焼き入れた刃が欠けなくなるという。実際、あの男の打った鎌は十年欠けなかった。だが礼が魚三匹だった。割に合わぬ。</t>
  </si>
  <si>
    <r>
      <rPr>
        <sz val="11"/>
        <color theme="1"/>
        <rFont val="Calibri"/>
        <family val="0"/>
        <charset val="1"/>
      </rPr>
      <t xml:space="preserve">※ source</t>
    </r>
    <r>
      <rPr>
        <sz val="11"/>
        <color theme="1"/>
        <rFont val="Noto Sans CJK SC"/>
        <family val="2"/>
      </rPr>
      <t xml:space="preserve">：手書きメモ </t>
    </r>
    <r>
      <rPr>
        <sz val="11"/>
        <color theme="1"/>
        <rFont val="Calibri"/>
        <family val="0"/>
        <charset val="1"/>
      </rPr>
      <t xml:space="preserve">/ </t>
    </r>
    <r>
      <rPr>
        <sz val="11"/>
        <color theme="1"/>
        <rFont val="Noto Sans CJK SC"/>
        <family val="2"/>
      </rPr>
      <t xml:space="preserve">祖母のメモ </t>
    </r>
    <r>
      <rPr>
        <sz val="11"/>
        <color theme="1"/>
        <rFont val="Calibri"/>
        <family val="0"/>
        <charset val="1"/>
      </rPr>
      <t xml:space="preserve">/ </t>
    </r>
    <r>
      <rPr>
        <sz val="11"/>
        <color theme="1"/>
        <rFont val="Noto Sans CJK SC"/>
        <family val="2"/>
      </rPr>
      <t xml:space="preserve">書籍のページの写し </t>
    </r>
    <r>
      <rPr>
        <sz val="11"/>
        <color theme="1"/>
        <rFont val="Calibri"/>
        <family val="0"/>
        <charset val="1"/>
      </rPr>
      <t xml:space="preserve">/ </t>
    </r>
    <r>
      <rPr>
        <sz val="11"/>
        <color theme="1"/>
        <rFont val="Noto Sans CJK SC"/>
        <family val="2"/>
      </rPr>
      <t xml:space="preserve">もらったメモ </t>
    </r>
    <r>
      <rPr>
        <sz val="11"/>
        <color theme="1"/>
        <rFont val="Calibri"/>
        <family val="0"/>
        <charset val="1"/>
      </rPr>
      <t xml:space="preserve">/ </t>
    </r>
    <r>
      <rPr>
        <sz val="11"/>
        <color theme="1"/>
        <rFont val="Noto Sans CJK SC"/>
        <family val="2"/>
      </rPr>
      <t xml:space="preserve">祖母の手書きの考察　　</t>
    </r>
    <r>
      <rPr>
        <sz val="11"/>
        <color theme="1"/>
        <rFont val="Calibri"/>
        <family val="0"/>
        <charset val="1"/>
      </rPr>
      <t xml:space="preserve">reliability</t>
    </r>
    <r>
      <rPr>
        <sz val="11"/>
        <color theme="1"/>
        <rFont val="Noto Sans CJK SC"/>
        <family val="2"/>
      </rPr>
      <t xml:space="preserve">：確か </t>
    </r>
    <r>
      <rPr>
        <sz val="11"/>
        <color theme="1"/>
        <rFont val="Calibri"/>
        <family val="0"/>
        <charset val="1"/>
      </rPr>
      <t xml:space="preserve">/ </t>
    </r>
    <r>
      <rPr>
        <sz val="11"/>
        <color theme="1"/>
        <rFont val="Noto Sans CJK SC"/>
        <family val="2"/>
      </rPr>
      <t xml:space="preserve">曖昧 </t>
    </r>
    <r>
      <rPr>
        <sz val="11"/>
        <color theme="1"/>
        <rFont val="Calibri"/>
        <family val="0"/>
        <charset val="1"/>
      </rPr>
      <t xml:space="preserve">/ </t>
    </r>
    <r>
      <rPr>
        <sz val="11"/>
        <color theme="1"/>
        <rFont val="Noto Sans CJK SC"/>
        <family val="2"/>
      </rPr>
      <t xml:space="preserve">誤りを含む</t>
    </r>
  </si>
</sst>
</file>

<file path=xl/styles.xml><?xml version="1.0" encoding="utf-8"?>
<styleSheet xmlns="http://schemas.openxmlformats.org/spreadsheetml/2006/main">
  <numFmts count="2">
    <numFmt numFmtId="164" formatCode="General"/>
    <numFmt numFmtId="165" formatCode="General"/>
  </numFmts>
  <fonts count="32">
    <font>
      <sz val="11"/>
      <color theme="1"/>
      <name val="Calibri"/>
      <family val="0"/>
      <charset val="1"/>
    </font>
    <font>
      <sz val="10"/>
      <name val="Arial"/>
      <family val="0"/>
    </font>
    <font>
      <sz val="10"/>
      <name val="Arial"/>
      <family val="0"/>
    </font>
    <font>
      <sz val="10"/>
      <name val="Arial"/>
      <family val="0"/>
    </font>
    <font>
      <b val="true"/>
      <sz val="9"/>
      <color rgb="FF1E3A5F"/>
      <name val="Arial"/>
      <family val="0"/>
      <charset val="1"/>
    </font>
    <font>
      <b val="true"/>
      <sz val="9"/>
      <color rgb="FF555555"/>
      <name val="Cambria"/>
      <family val="0"/>
      <charset val="1"/>
    </font>
    <font>
      <b val="true"/>
      <sz val="10"/>
      <color rgb="FFFFFFFF"/>
      <name val="Arial"/>
      <family val="0"/>
      <charset val="1"/>
    </font>
    <font>
      <b val="true"/>
      <sz val="10"/>
      <color rgb="FFFFFFFF"/>
      <name val="Noto Sans CJK SC"/>
      <family val="2"/>
      <charset val="1"/>
    </font>
    <font>
      <sz val="11"/>
      <color rgb="FFFFFFFF"/>
      <name val="Noto Sans CJK SC"/>
      <family val="2"/>
      <charset val="1"/>
    </font>
    <font>
      <sz val="11"/>
      <color theme="1"/>
      <name val="Noto Sans"/>
      <family val="0"/>
      <charset val="1"/>
    </font>
    <font>
      <sz val="10"/>
      <color rgb="FF000000"/>
      <name val="Arial"/>
      <family val="0"/>
      <charset val="1"/>
    </font>
    <font>
      <sz val="10"/>
      <color rgb="FF000000"/>
      <name val="Noto Sans CJK SC"/>
      <family val="2"/>
      <charset val="1"/>
    </font>
    <font>
      <sz val="11"/>
      <color theme="1"/>
      <name val="Noto Sans CJK SC"/>
      <family val="2"/>
      <charset val="1"/>
    </font>
    <font>
      <sz val="10"/>
      <color rgb="FF000000"/>
      <name val="Noto Sans"/>
      <family val="0"/>
      <charset val="1"/>
    </font>
    <font>
      <b val="true"/>
      <sz val="9"/>
      <color rgb="FF1E3A5F"/>
      <name val="Noto Sans CJK SC"/>
      <family val="2"/>
    </font>
    <font>
      <b val="true"/>
      <sz val="11"/>
      <color theme="1"/>
      <name val="Noto Sans CJK SC"/>
      <family val="2"/>
      <charset val="1"/>
    </font>
    <font>
      <i val="true"/>
      <sz val="11"/>
      <color rgb="FF1F4E79"/>
      <name val="Noto Sans CJK SC"/>
      <family val="2"/>
      <charset val="1"/>
    </font>
    <font>
      <b val="true"/>
      <sz val="11"/>
      <name val="Cambria"/>
      <family val="0"/>
      <charset val="1"/>
    </font>
    <font>
      <b val="true"/>
      <sz val="11"/>
      <name val="Noto Sans CJK SC"/>
      <family val="2"/>
    </font>
    <font>
      <b val="true"/>
      <sz val="11"/>
      <name val="Noto Sans CJK SC"/>
      <family val="2"/>
      <charset val="1"/>
    </font>
    <font>
      <sz val="7"/>
      <name val="Noto Sans CJK SC"/>
      <family val="2"/>
      <charset val="1"/>
    </font>
    <font>
      <b val="true"/>
      <sz val="11"/>
      <color rgb="FF1E3A5F"/>
      <name val="Arial"/>
      <family val="0"/>
      <charset val="1"/>
    </font>
    <font>
      <b val="true"/>
      <sz val="11"/>
      <color rgb="FF1E3A5F"/>
      <name val="Noto Sans CJK SC"/>
      <family val="2"/>
    </font>
    <font>
      <b val="true"/>
      <sz val="9"/>
      <color theme="1"/>
      <name val="Cambria"/>
      <family val="0"/>
      <charset val="1"/>
    </font>
    <font>
      <b val="true"/>
      <sz val="9"/>
      <color theme="1"/>
      <name val="Noto Sans CJK SC"/>
      <family val="2"/>
    </font>
    <font>
      <b val="true"/>
      <sz val="9"/>
      <color theme="1"/>
      <name val="Noto Sans CJK SC"/>
      <family val="2"/>
      <charset val="1"/>
    </font>
    <font>
      <i val="true"/>
      <sz val="9"/>
      <color rgb="FF1F4E79"/>
      <name val="Cambria"/>
      <family val="0"/>
      <charset val="1"/>
    </font>
    <font>
      <sz val="11"/>
      <color rgb="FF000000"/>
      <name val="Noto Sans CJK SC"/>
      <family val="2"/>
      <charset val="1"/>
    </font>
    <font>
      <sz val="11"/>
      <color theme="1"/>
      <name val="Noto Sans CJK SC"/>
      <family val="2"/>
    </font>
    <font>
      <b val="true"/>
      <sz val="9"/>
      <color theme="1"/>
      <name val="Calibri"/>
      <family val="0"/>
      <charset val="1"/>
    </font>
    <font>
      <sz val="11"/>
      <color rgb="FF000000"/>
      <name val="Calibri"/>
      <family val="0"/>
      <charset val="1"/>
    </font>
    <font>
      <i val="true"/>
      <sz val="9"/>
      <color rgb="FF7D6608"/>
      <name val="Noto Sans"/>
      <family val="0"/>
      <charset val="1"/>
    </font>
  </fonts>
  <fills count="43">
    <fill>
      <patternFill patternType="none"/>
    </fill>
    <fill>
      <patternFill patternType="gray125"/>
    </fill>
    <fill>
      <patternFill patternType="solid">
        <fgColor rgb="FFE8F0FE"/>
        <bgColor rgb="FFE6F1FB"/>
      </patternFill>
    </fill>
    <fill>
      <patternFill patternType="solid">
        <fgColor rgb="FF1E3A5F"/>
        <bgColor rgb="FF1F4E79"/>
      </patternFill>
    </fill>
    <fill>
      <patternFill patternType="solid">
        <fgColor rgb="FFF4F8FF"/>
        <bgColor rgb="FFFFFFFF"/>
      </patternFill>
    </fill>
    <fill>
      <patternFill patternType="solid">
        <fgColor rgb="FFE8F4E8"/>
        <bgColor rgb="FFEAF3DE"/>
      </patternFill>
    </fill>
    <fill>
      <patternFill patternType="solid">
        <fgColor rgb="FFD6E4FF"/>
        <bgColor rgb="FFD6E4F7"/>
      </patternFill>
    </fill>
    <fill>
      <patternFill patternType="solid">
        <fgColor rgb="FFC0DD97"/>
        <bgColor rgb="FFD3D1C7"/>
      </patternFill>
    </fill>
    <fill>
      <patternFill patternType="solid">
        <fgColor rgb="FF97C459"/>
        <bgColor rgb="FFB4A98F"/>
      </patternFill>
    </fill>
    <fill>
      <patternFill patternType="solid">
        <fgColor rgb="FFD3D1C7"/>
        <bgColor rgb="FFCCCCCC"/>
      </patternFill>
    </fill>
    <fill>
      <patternFill patternType="solid">
        <fgColor rgb="FFB4B2A9"/>
        <bgColor rgb="FFB4A98F"/>
      </patternFill>
    </fill>
    <fill>
      <patternFill patternType="solid">
        <fgColor rgb="FF888780"/>
        <bgColor rgb="FF888888"/>
      </patternFill>
    </fill>
    <fill>
      <patternFill patternType="solid">
        <fgColor rgb="FF7A5C3E"/>
        <bgColor rgb="FF5F5E5A"/>
      </patternFill>
    </fill>
    <fill>
      <patternFill patternType="solid">
        <fgColor rgb="FFBA7517"/>
        <bgColor rgb="FFC55A11"/>
      </patternFill>
    </fill>
    <fill>
      <patternFill patternType="solid">
        <fgColor rgb="FF854F0B"/>
        <bgColor rgb="FF7D6608"/>
      </patternFill>
    </fill>
    <fill>
      <patternFill patternType="solid">
        <fgColor rgb="FFEAF3DE"/>
        <bgColor rgb="FFE8F4E8"/>
      </patternFill>
    </fill>
    <fill>
      <patternFill patternType="solid">
        <fgColor rgb="FF378ADD"/>
        <bgColor rgb="FF2E75B6"/>
      </patternFill>
    </fill>
    <fill>
      <patternFill patternType="solid">
        <fgColor rgb="FF85B7EB"/>
        <bgColor rgb="FF9FA5AA"/>
      </patternFill>
    </fill>
    <fill>
      <patternFill patternType="solid">
        <fgColor rgb="FFEF9F27"/>
        <bgColor rgb="FFF0997B"/>
      </patternFill>
    </fill>
    <fill>
      <patternFill patternType="solid">
        <fgColor rgb="FF996B3D"/>
        <bgColor rgb="FF7A5C3E"/>
      </patternFill>
    </fill>
    <fill>
      <patternFill patternType="solid">
        <fgColor rgb="FF4A3520"/>
        <bgColor rgb="FF444441"/>
      </patternFill>
    </fill>
    <fill>
      <patternFill patternType="solid">
        <fgColor rgb="FF639922"/>
        <bgColor rgb="FF5F6E3B"/>
      </patternFill>
    </fill>
    <fill>
      <patternFill patternType="solid">
        <fgColor rgb="FF5F6E3B"/>
        <bgColor rgb="FF5F5E5A"/>
      </patternFill>
    </fill>
    <fill>
      <patternFill patternType="solid">
        <fgColor rgb="FF8B7B6B"/>
        <bgColor rgb="FF888780"/>
      </patternFill>
    </fill>
    <fill>
      <patternFill patternType="solid">
        <fgColor rgb="FF9FA5AA"/>
        <bgColor rgb="FFB4A98F"/>
      </patternFill>
    </fill>
    <fill>
      <patternFill patternType="solid">
        <fgColor rgb="FFE6F1FB"/>
        <bgColor rgb="FFE8F0FE"/>
      </patternFill>
    </fill>
    <fill>
      <patternFill patternType="solid">
        <fgColor rgb="FF9FE1CB"/>
        <bgColor rgb="FFC0DD97"/>
      </patternFill>
    </fill>
    <fill>
      <patternFill patternType="solid">
        <fgColor rgb="FFFAC775"/>
        <bgColor rgb="FFD3D1C7"/>
      </patternFill>
    </fill>
    <fill>
      <patternFill patternType="solid">
        <fgColor rgb="FFF0997B"/>
        <bgColor rgb="FFF09595"/>
      </patternFill>
    </fill>
    <fill>
      <patternFill patternType="solid">
        <fgColor rgb="FFB4A98F"/>
        <bgColor rgb="FFB4B2A9"/>
      </patternFill>
    </fill>
    <fill>
      <patternFill patternType="solid">
        <fgColor rgb="FFFAEEDA"/>
        <bgColor rgb="FFEAF3DE"/>
      </patternFill>
    </fill>
    <fill>
      <patternFill patternType="solid">
        <fgColor rgb="FF5DCAA5"/>
        <bgColor rgb="FF85B7EB"/>
      </patternFill>
    </fill>
    <fill>
      <patternFill patternType="solid">
        <fgColor rgb="FF0F6E56"/>
        <bgColor rgb="FF1E6F50"/>
      </patternFill>
    </fill>
    <fill>
      <patternFill patternType="solid">
        <fgColor rgb="FFCECBF6"/>
        <bgColor rgb="FFCCCCCC"/>
      </patternFill>
    </fill>
    <fill>
      <patternFill patternType="solid">
        <fgColor rgb="FF3C3489"/>
        <bgColor rgb="FF1E3A5F"/>
      </patternFill>
    </fill>
    <fill>
      <patternFill patternType="solid">
        <fgColor rgb="FF7F77DD"/>
        <bgColor rgb="FF888888"/>
      </patternFill>
    </fill>
    <fill>
      <patternFill patternType="solid">
        <fgColor rgb="FFE24B4A"/>
        <bgColor rgb="FFC55A11"/>
      </patternFill>
    </fill>
    <fill>
      <patternFill patternType="solid">
        <fgColor rgb="FF791F1F"/>
        <bgColor rgb="FF4A3520"/>
      </patternFill>
    </fill>
    <fill>
      <patternFill patternType="solid">
        <fgColor rgb="FFF09595"/>
        <bgColor rgb="FFF0997B"/>
      </patternFill>
    </fill>
    <fill>
      <patternFill patternType="solid">
        <fgColor rgb="FF5F5E5A"/>
        <bgColor rgb="FF555555"/>
      </patternFill>
    </fill>
    <fill>
      <patternFill patternType="solid">
        <fgColor rgb="FF444441"/>
        <bgColor rgb="FF4A3520"/>
      </patternFill>
    </fill>
    <fill>
      <patternFill patternType="solid">
        <fgColor rgb="FFD6E4F7"/>
        <bgColor rgb="FFD6E4FF"/>
      </patternFill>
    </fill>
    <fill>
      <patternFill patternType="solid">
        <fgColor rgb="FFFEF9E7"/>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0" fillId="10"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false" indent="0" shrinkToFit="false"/>
      <protection locked="true" hidden="false"/>
    </xf>
    <xf numFmtId="164" fontId="0" fillId="14" borderId="0" xfId="0" applyFont="true" applyBorder="false" applyAlignment="tru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bottom" textRotation="0" wrapText="false" indent="0" shrinkToFit="false"/>
      <protection locked="true" hidden="false"/>
    </xf>
    <xf numFmtId="164" fontId="0" fillId="16" borderId="0" xfId="0" applyFont="true" applyBorder="false" applyAlignment="true" applyProtection="false">
      <alignment horizontal="general" vertical="bottom" textRotation="0" wrapText="false" indent="0" shrinkToFit="false"/>
      <protection locked="true" hidden="false"/>
    </xf>
    <xf numFmtId="164" fontId="0" fillId="17" borderId="0" xfId="0" applyFont="true" applyBorder="false" applyAlignment="true" applyProtection="false">
      <alignment horizontal="general" vertical="bottom" textRotation="0" wrapText="false" indent="0" shrinkToFit="false"/>
      <protection locked="true" hidden="false"/>
    </xf>
    <xf numFmtId="164" fontId="0" fillId="18" borderId="0" xfId="0" applyFont="true" applyBorder="false" applyAlignment="true" applyProtection="false">
      <alignment horizontal="general" vertical="bottom" textRotation="0" wrapText="false" indent="0" shrinkToFit="false"/>
      <protection locked="true" hidden="false"/>
    </xf>
    <xf numFmtId="164" fontId="0" fillId="19" borderId="0" xfId="0" applyFont="true" applyBorder="false" applyAlignment="true" applyProtection="false">
      <alignment horizontal="general" vertical="bottom" textRotation="0" wrapText="false" indent="0" shrinkToFit="false"/>
      <protection locked="true" hidden="false"/>
    </xf>
    <xf numFmtId="164" fontId="0" fillId="20" borderId="0" xfId="0" applyFont="true" applyBorder="false" applyAlignment="true" applyProtection="false">
      <alignment horizontal="general" vertical="bottom" textRotation="0" wrapText="false" indent="0" shrinkToFit="false"/>
      <protection locked="true" hidden="false"/>
    </xf>
    <xf numFmtId="164" fontId="0" fillId="21" borderId="0" xfId="0" applyFont="true" applyBorder="false" applyAlignment="true" applyProtection="false">
      <alignment horizontal="general" vertical="bottom" textRotation="0" wrapText="false" indent="0" shrinkToFit="false"/>
      <protection locked="true" hidden="false"/>
    </xf>
    <xf numFmtId="164" fontId="0" fillId="22" borderId="0" xfId="0" applyFont="true" applyBorder="false" applyAlignment="true" applyProtection="false">
      <alignment horizontal="general" vertical="bottom" textRotation="0" wrapText="false" indent="0" shrinkToFit="false"/>
      <protection locked="true" hidden="false"/>
    </xf>
    <xf numFmtId="164" fontId="0" fillId="23" borderId="0" xfId="0" applyFont="true" applyBorder="false" applyAlignment="true" applyProtection="false">
      <alignment horizontal="general" vertical="bottom" textRotation="0" wrapText="false" indent="0" shrinkToFit="false"/>
      <protection locked="true" hidden="false"/>
    </xf>
    <xf numFmtId="164" fontId="0" fillId="24" borderId="0" xfId="0" applyFont="true" applyBorder="false" applyAlignment="true" applyProtection="false">
      <alignment horizontal="general" vertical="bottom" textRotation="0" wrapText="false" indent="0" shrinkToFit="false"/>
      <protection locked="true" hidden="false"/>
    </xf>
    <xf numFmtId="164" fontId="0" fillId="25" borderId="0" xfId="0" applyFont="true" applyBorder="false" applyAlignment="true" applyProtection="false">
      <alignment horizontal="general" vertical="bottom" textRotation="0" wrapText="false" indent="0" shrinkToFit="false"/>
      <protection locked="true" hidden="false"/>
    </xf>
    <xf numFmtId="164" fontId="0" fillId="26" borderId="0" xfId="0" applyFont="true" applyBorder="false" applyAlignment="true" applyProtection="false">
      <alignment horizontal="general" vertical="bottom" textRotation="0" wrapText="false" indent="0" shrinkToFit="false"/>
      <protection locked="true" hidden="false"/>
    </xf>
    <xf numFmtId="164" fontId="0" fillId="27" borderId="0" xfId="0" applyFont="true" applyBorder="false" applyAlignment="true" applyProtection="false">
      <alignment horizontal="general" vertical="bottom" textRotation="0" wrapText="false" indent="0" shrinkToFit="false"/>
      <protection locked="true" hidden="false"/>
    </xf>
    <xf numFmtId="164" fontId="0" fillId="28" borderId="0" xfId="0" applyFont="true" applyBorder="false" applyAlignment="true" applyProtection="false">
      <alignment horizontal="general" vertical="bottom" textRotation="0" wrapText="false" indent="0" shrinkToFit="false"/>
      <protection locked="true" hidden="false"/>
    </xf>
    <xf numFmtId="164" fontId="0" fillId="29" borderId="0" xfId="0" applyFont="true" applyBorder="false" applyAlignment="true" applyProtection="false">
      <alignment horizontal="general" vertical="bottom" textRotation="0" wrapText="false" indent="0" shrinkToFit="false"/>
      <protection locked="true" hidden="false"/>
    </xf>
    <xf numFmtId="164" fontId="0" fillId="30" borderId="0" xfId="0" applyFont="true" applyBorder="false" applyAlignment="true" applyProtection="false">
      <alignment horizontal="general" vertical="bottom" textRotation="0" wrapText="false" indent="0" shrinkToFit="false"/>
      <protection locked="true" hidden="false"/>
    </xf>
    <xf numFmtId="164" fontId="0" fillId="31" borderId="0" xfId="0" applyFont="true" applyBorder="false" applyAlignment="true" applyProtection="false">
      <alignment horizontal="general" vertical="bottom" textRotation="0" wrapText="false" indent="0" shrinkToFit="false"/>
      <protection locked="true" hidden="false"/>
    </xf>
    <xf numFmtId="164" fontId="0" fillId="32" borderId="0" xfId="0" applyFont="true" applyBorder="false" applyAlignment="true" applyProtection="false">
      <alignment horizontal="general" vertical="bottom" textRotation="0" wrapText="false" indent="0" shrinkToFit="false"/>
      <protection locked="true" hidden="false"/>
    </xf>
    <xf numFmtId="164" fontId="0" fillId="33" borderId="0" xfId="0" applyFont="true" applyBorder="false" applyAlignment="true" applyProtection="false">
      <alignment horizontal="general" vertical="bottom" textRotation="0" wrapText="false" indent="0" shrinkToFit="false"/>
      <protection locked="true" hidden="false"/>
    </xf>
    <xf numFmtId="164" fontId="0" fillId="34" borderId="0" xfId="0" applyFont="true" applyBorder="false" applyAlignment="true" applyProtection="false">
      <alignment horizontal="general" vertical="bottom" textRotation="0" wrapText="false" indent="0" shrinkToFit="false"/>
      <protection locked="true" hidden="false"/>
    </xf>
    <xf numFmtId="164" fontId="0" fillId="35" borderId="0" xfId="0" applyFont="true" applyBorder="false" applyAlignment="true" applyProtection="false">
      <alignment horizontal="general" vertical="bottom" textRotation="0" wrapText="false" indent="0" shrinkToFit="false"/>
      <protection locked="true" hidden="false"/>
    </xf>
    <xf numFmtId="164" fontId="0" fillId="36" borderId="0" xfId="0" applyFont="true" applyBorder="false" applyAlignment="true" applyProtection="false">
      <alignment horizontal="general" vertical="bottom" textRotation="0" wrapText="false" indent="0" shrinkToFit="false"/>
      <protection locked="true" hidden="false"/>
    </xf>
    <xf numFmtId="164" fontId="0" fillId="37" borderId="0" xfId="0" applyFont="true" applyBorder="false" applyAlignment="true" applyProtection="false">
      <alignment horizontal="general" vertical="bottom" textRotation="0" wrapText="false" indent="0" shrinkToFit="false"/>
      <protection locked="true" hidden="false"/>
    </xf>
    <xf numFmtId="164" fontId="0" fillId="38" borderId="0" xfId="0" applyFont="true" applyBorder="false" applyAlignment="true" applyProtection="false">
      <alignment horizontal="general" vertical="bottom" textRotation="0" wrapText="false" indent="0" shrinkToFit="false"/>
      <protection locked="true" hidden="false"/>
    </xf>
    <xf numFmtId="164" fontId="0" fillId="39" borderId="0" xfId="0" applyFont="true" applyBorder="false" applyAlignment="true" applyProtection="false">
      <alignment horizontal="general" vertical="bottom" textRotation="0" wrapText="false" indent="0" shrinkToFit="false"/>
      <protection locked="true" hidden="false"/>
    </xf>
    <xf numFmtId="164" fontId="0" fillId="40" borderId="0" xfId="0" applyFont="true" applyBorder="false" applyAlignment="true" applyProtection="false">
      <alignment horizontal="general" vertical="bottom" textRotation="0" wrapText="false" indent="0" shrinkToFit="false"/>
      <protection locked="true" hidden="false"/>
    </xf>
    <xf numFmtId="164" fontId="20" fillId="12" borderId="0" xfId="0" applyFont="true" applyBorder="false" applyAlignment="true" applyProtection="false">
      <alignment horizontal="center" vertical="center" textRotation="0" wrapText="false" indent="0" shrinkToFit="false"/>
      <protection locked="true" hidden="false"/>
    </xf>
    <xf numFmtId="164" fontId="20" fillId="13" borderId="0" xfId="0" applyFont="true" applyBorder="false" applyAlignment="true" applyProtection="false">
      <alignment horizontal="center" vertical="center" textRotation="0" wrapText="false" indent="0" shrinkToFit="false"/>
      <protection locked="true" hidden="false"/>
    </xf>
    <xf numFmtId="164" fontId="20" fillId="10" borderId="0" xfId="0" applyFont="true" applyBorder="false" applyAlignment="true" applyProtection="false">
      <alignment horizontal="center" vertical="center" textRotation="0" wrapText="false" indent="0" shrinkToFit="false"/>
      <protection locked="true" hidden="false"/>
    </xf>
    <xf numFmtId="164" fontId="20" fillId="15" borderId="0" xfId="0" applyFont="true" applyBorder="false" applyAlignment="true" applyProtection="false">
      <alignment horizontal="center" vertical="center" textRotation="0" wrapText="false" indent="0" shrinkToFit="false"/>
      <protection locked="true" hidden="false"/>
    </xf>
    <xf numFmtId="164" fontId="20" fillId="7" borderId="0" xfId="0" applyFont="true" applyBorder="false" applyAlignment="true" applyProtection="false">
      <alignment horizontal="center" vertical="center" textRotation="0" wrapText="false" indent="0" shrinkToFit="false"/>
      <protection locked="true" hidden="false"/>
    </xf>
    <xf numFmtId="164" fontId="20" fillId="14"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false" applyAlignment="true" applyProtection="false">
      <alignment horizontal="center" vertical="center" textRotation="0" wrapText="false" indent="0" shrinkToFit="false"/>
      <protection locked="true" hidden="false"/>
    </xf>
    <xf numFmtId="164" fontId="20" fillId="9" borderId="0" xfId="0" applyFont="true" applyBorder="false" applyAlignment="true" applyProtection="false">
      <alignment horizontal="center" vertical="center" textRotation="0" wrapText="false" indent="0" shrinkToFit="false"/>
      <protection locked="true" hidden="false"/>
    </xf>
    <xf numFmtId="164" fontId="20" fillId="19" borderId="0" xfId="0" applyFont="true" applyBorder="false" applyAlignment="true" applyProtection="false">
      <alignment horizontal="center" vertical="center" textRotation="0" wrapText="false" indent="0" shrinkToFit="false"/>
      <protection locked="true" hidden="false"/>
    </xf>
    <xf numFmtId="164" fontId="20" fillId="35" borderId="0" xfId="0" applyFont="true" applyBorder="false" applyAlignment="true" applyProtection="false">
      <alignment horizontal="center" vertical="center" textRotation="0" wrapText="false" indent="0" shrinkToFit="false"/>
      <protection locked="true" hidden="false"/>
    </xf>
    <xf numFmtId="164" fontId="20" fillId="34" borderId="0" xfId="0" applyFont="true" applyBorder="false" applyAlignment="true" applyProtection="false">
      <alignment horizontal="center" vertical="center" textRotation="0" wrapText="false" indent="0" shrinkToFit="false"/>
      <protection locked="true" hidden="false"/>
    </xf>
    <xf numFmtId="164" fontId="20" fillId="33" borderId="0" xfId="0" applyFont="true" applyBorder="false" applyAlignment="true" applyProtection="false">
      <alignment horizontal="center" vertical="center" textRotation="0" wrapText="false" indent="0" shrinkToFit="false"/>
      <protection locked="true" hidden="false"/>
    </xf>
    <xf numFmtId="164" fontId="20" fillId="17" borderId="0" xfId="0" applyFont="true" applyBorder="false" applyAlignment="true" applyProtection="false">
      <alignment horizontal="center" vertical="center" textRotation="0" wrapText="false" indent="0" shrinkToFit="false"/>
      <protection locked="true" hidden="false"/>
    </xf>
    <xf numFmtId="164" fontId="20" fillId="11" borderId="0" xfId="0" applyFont="true" applyBorder="false" applyAlignment="true" applyProtection="false">
      <alignment horizontal="center" vertical="center" textRotation="0" wrapText="false" indent="0" shrinkToFit="false"/>
      <protection locked="true" hidden="false"/>
    </xf>
    <xf numFmtId="164" fontId="20" fillId="18" borderId="0" xfId="0" applyFont="true" applyBorder="false" applyAlignment="true" applyProtection="false">
      <alignment horizontal="center" vertical="center" textRotation="0" wrapText="false" indent="0" shrinkToFit="false"/>
      <protection locked="true" hidden="false"/>
    </xf>
    <xf numFmtId="164" fontId="20" fillId="16" borderId="0" xfId="0" applyFont="true" applyBorder="false" applyAlignment="true" applyProtection="false">
      <alignment horizontal="center" vertical="center" textRotation="0" wrapText="false" indent="0" shrinkToFit="false"/>
      <protection locked="true" hidden="false"/>
    </xf>
    <xf numFmtId="164" fontId="20" fillId="25" borderId="0" xfId="0" applyFont="true" applyBorder="false" applyAlignment="true" applyProtection="false">
      <alignment horizontal="center" vertical="center" textRotation="0" wrapText="false" indent="0" shrinkToFit="false"/>
      <protection locked="true" hidden="false"/>
    </xf>
    <xf numFmtId="164" fontId="20" fillId="26" borderId="0" xfId="0" applyFont="true" applyBorder="false" applyAlignment="true" applyProtection="false">
      <alignment horizontal="center" vertical="center" textRotation="0" wrapText="false" indent="0" shrinkToFit="false"/>
      <protection locked="true" hidden="false"/>
    </xf>
    <xf numFmtId="164" fontId="20" fillId="24" borderId="0" xfId="0" applyFont="true" applyBorder="false" applyAlignment="true" applyProtection="false">
      <alignment horizontal="center" vertical="center" textRotation="0" wrapText="false" indent="0" shrinkToFit="false"/>
      <protection locked="true" hidden="false"/>
    </xf>
    <xf numFmtId="164" fontId="20" fillId="27" borderId="0" xfId="0" applyFont="true" applyBorder="false" applyAlignment="true" applyProtection="false">
      <alignment horizontal="center" vertical="center" textRotation="0" wrapText="false" indent="0" shrinkToFit="false"/>
      <protection locked="true" hidden="false"/>
    </xf>
    <xf numFmtId="164" fontId="20" fillId="28" borderId="0" xfId="0" applyFont="true" applyBorder="false" applyAlignment="true" applyProtection="false">
      <alignment horizontal="center" vertical="center" textRotation="0" wrapText="false" indent="0" shrinkToFit="false"/>
      <protection locked="true" hidden="false"/>
    </xf>
    <xf numFmtId="164" fontId="20" fillId="29" borderId="0" xfId="0" applyFont="true" applyBorder="false" applyAlignment="true" applyProtection="false">
      <alignment horizontal="center" vertical="center" textRotation="0" wrapText="false" indent="0" shrinkToFit="false"/>
      <protection locked="true" hidden="false"/>
    </xf>
    <xf numFmtId="164" fontId="20" fillId="22" borderId="0" xfId="0" applyFont="true" applyBorder="false" applyAlignment="true" applyProtection="false">
      <alignment horizontal="center" vertical="center" textRotation="0" wrapText="false" indent="0" shrinkToFit="false"/>
      <protection locked="true" hidden="false"/>
    </xf>
    <xf numFmtId="164" fontId="20" fillId="21" borderId="0" xfId="0" applyFont="true" applyBorder="false" applyAlignment="true" applyProtection="false">
      <alignment horizontal="center" vertical="center" textRotation="0" wrapText="false" indent="0" shrinkToFit="false"/>
      <protection locked="true" hidden="false"/>
    </xf>
    <xf numFmtId="164" fontId="20" fillId="23" borderId="0" xfId="0" applyFont="true" applyBorder="false" applyAlignment="true" applyProtection="false">
      <alignment horizontal="center" vertical="center" textRotation="0" wrapText="false" indent="0" shrinkToFit="false"/>
      <protection locked="true" hidden="false"/>
    </xf>
    <xf numFmtId="164" fontId="20" fillId="20" borderId="0" xfId="0" applyFont="true" applyBorder="false" applyAlignment="true" applyProtection="false">
      <alignment horizontal="center" vertical="center" textRotation="0" wrapText="false" indent="0" shrinkToFit="false"/>
      <protection locked="true" hidden="false"/>
    </xf>
    <xf numFmtId="164" fontId="20" fillId="30" borderId="0" xfId="0" applyFont="true" applyBorder="false" applyAlignment="true" applyProtection="false">
      <alignment horizontal="center" vertical="center" textRotation="0" wrapText="false" indent="0" shrinkToFit="false"/>
      <protection locked="true" hidden="false"/>
    </xf>
    <xf numFmtId="164" fontId="20" fillId="32" borderId="0" xfId="0" applyFont="true" applyBorder="false" applyAlignment="true" applyProtection="false">
      <alignment horizontal="center" vertical="center" textRotation="0" wrapText="false" indent="0" shrinkToFit="false"/>
      <protection locked="true" hidden="false"/>
    </xf>
    <xf numFmtId="164" fontId="20" fillId="31" borderId="0" xfId="0" applyFont="true" applyBorder="false" applyAlignment="true" applyProtection="false">
      <alignment horizontal="center" vertical="center" textRotation="0" wrapText="false" indent="0" shrinkToFit="false"/>
      <protection locked="true" hidden="false"/>
    </xf>
    <xf numFmtId="164" fontId="20" fillId="37" borderId="0" xfId="0" applyFont="true" applyBorder="false" applyAlignment="true" applyProtection="false">
      <alignment horizontal="center" vertical="center" textRotation="0" wrapText="false" indent="0" shrinkToFit="false"/>
      <protection locked="true" hidden="false"/>
    </xf>
    <xf numFmtId="164" fontId="20" fillId="36" borderId="0" xfId="0" applyFont="true" applyBorder="false" applyAlignment="true" applyProtection="false">
      <alignment horizontal="center" vertical="center" textRotation="0" wrapText="false" indent="0" shrinkToFit="false"/>
      <protection locked="true" hidden="false"/>
    </xf>
    <xf numFmtId="164" fontId="20" fillId="38" borderId="0" xfId="0" applyFont="true" applyBorder="false" applyAlignment="true" applyProtection="false">
      <alignment horizontal="center" vertical="center" textRotation="0" wrapText="false" indent="0" shrinkToFit="false"/>
      <protection locked="true" hidden="false"/>
    </xf>
    <xf numFmtId="164" fontId="20" fillId="40" borderId="0" xfId="0" applyFont="true" applyBorder="false" applyAlignment="true" applyProtection="false">
      <alignment horizontal="center" vertical="center" textRotation="0" wrapText="false" indent="0" shrinkToFit="false"/>
      <protection locked="true" hidden="false"/>
    </xf>
    <xf numFmtId="164" fontId="20" fillId="39" borderId="0" xfId="0" applyFont="true" applyBorder="false" applyAlignment="true" applyProtection="false">
      <alignment horizontal="center" vertical="center" textRotation="0" wrapText="false" indent="0" shrinkToFit="false"/>
      <protection locked="true" hidden="false"/>
    </xf>
    <xf numFmtId="164" fontId="21" fillId="41" borderId="0" xfId="0" applyFont="true" applyBorder="false" applyAlignment="true" applyProtection="false">
      <alignment horizontal="center" vertical="center" textRotation="0" wrapText="true" indent="0" shrinkToFit="false"/>
      <protection locked="true" hidden="false"/>
    </xf>
    <xf numFmtId="164" fontId="21" fillId="41" borderId="0" xfId="0" applyFont="true" applyBorder="true" applyAlignment="true" applyProtection="false">
      <alignment horizontal="center" vertical="center" textRotation="0" wrapText="true" indent="0" shrinkToFit="false"/>
      <protection locked="true" hidden="false"/>
    </xf>
    <xf numFmtId="164" fontId="23" fillId="3" borderId="1" xfId="0" applyFont="true" applyBorder="true" applyAlignment="true" applyProtection="false">
      <alignment horizontal="center"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23" fillId="6" borderId="1"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5" fontId="26" fillId="6" borderId="2" xfId="0" applyFont="true" applyBorder="true" applyAlignment="true" applyProtection="false">
      <alignment horizontal="left" vertical="center" textRotation="0" wrapText="false" indent="0" shrinkToFit="false"/>
      <protection locked="true" hidden="false"/>
    </xf>
    <xf numFmtId="164" fontId="27" fillId="5" borderId="1" xfId="0" applyFont="true" applyBorder="true" applyAlignment="true" applyProtection="false">
      <alignment horizontal="left" vertical="bottom" textRotation="0" wrapText="false" indent="0" shrinkToFit="false"/>
      <protection locked="true" hidden="false"/>
    </xf>
    <xf numFmtId="164" fontId="26" fillId="6" borderId="2" xfId="0" applyFont="true" applyBorder="tru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true" indent="0" shrinkToFit="false"/>
      <protection locked="true" hidden="false"/>
    </xf>
    <xf numFmtId="164" fontId="10" fillId="42" borderId="1" xfId="0" applyFont="true" applyBorder="true" applyAlignment="true" applyProtection="false">
      <alignment horizontal="left" vertical="center" textRotation="0" wrapText="true" indent="0" shrinkToFit="false"/>
      <protection locked="true" hidden="false"/>
    </xf>
    <xf numFmtId="164" fontId="0" fillId="5" borderId="0" xfId="0" applyFont="false" applyBorder="false" applyAlignment="true" applyProtection="false">
      <alignment horizontal="left" vertical="center" textRotation="0" wrapText="false" indent="0" shrinkToFit="false"/>
      <protection locked="true" hidden="false"/>
    </xf>
    <xf numFmtId="165" fontId="26" fillId="6"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29" fillId="3" borderId="1" xfId="0" applyFont="true" applyBorder="true" applyAlignment="true" applyProtection="false">
      <alignment horizontal="center" vertical="center" textRotation="0" wrapText="true" indent="0" shrinkToFit="false"/>
      <protection locked="true" hidden="false"/>
    </xf>
    <xf numFmtId="164" fontId="29" fillId="5" borderId="1" xfId="0" applyFont="true" applyBorder="true" applyAlignment="true" applyProtection="false">
      <alignment horizontal="center" vertical="center" textRotation="0" wrapText="true" indent="0" shrinkToFit="false"/>
      <protection locked="true" hidden="false"/>
    </xf>
    <xf numFmtId="164" fontId="29" fillId="6" borderId="1"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right" vertical="bottom" textRotation="0" wrapText="false" indent="0" shrinkToFit="false"/>
      <protection locked="true" hidden="false"/>
    </xf>
    <xf numFmtId="164" fontId="27" fillId="5" borderId="0" xfId="0" applyFont="true" applyBorder="false" applyAlignment="true" applyProtection="false">
      <alignment horizontal="left" vertical="bottom" textRotation="0" wrapText="false" indent="0" shrinkToFit="false"/>
      <protection locked="true" hidden="false"/>
    </xf>
    <xf numFmtId="164" fontId="26" fillId="6"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6" fillId="6" borderId="1" xfId="0" applyFont="true" applyBorder="true" applyAlignment="true" applyProtection="false">
      <alignment horizontal="left"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64" fontId="31" fillId="42"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BA7517"/>
      <rgbColor rgb="FFB4A98F"/>
      <rgbColor rgb="FF0000FF"/>
      <rgbColor rgb="FFD3D1C7"/>
      <rgbColor rgb="FFD6E4F7"/>
      <rgbColor rgb="FF9FE1CB"/>
      <rgbColor rgb="FF791F1F"/>
      <rgbColor rgb="FF5F6E3B"/>
      <rgbColor rgb="FF000080"/>
      <rgbColor rgb="FF7D6608"/>
      <rgbColor rgb="FF8B7B6B"/>
      <rgbColor rgb="FF0F6E56"/>
      <rgbColor rgb="FFBFBFBF"/>
      <rgbColor rgb="FF888780"/>
      <rgbColor rgb="FF9FA5AA"/>
      <rgbColor rgb="FF7A5C3E"/>
      <rgbColor rgb="FFFEF9E7"/>
      <rgbColor rgb="FFE6F1FB"/>
      <rgbColor rgb="FFF4F8FF"/>
      <rgbColor rgb="FFF09595"/>
      <rgbColor rgb="FF1F4E79"/>
      <rgbColor rgb="FFCECBF6"/>
      <rgbColor rgb="FF000080"/>
      <rgbColor rgb="FFE8F0FE"/>
      <rgbColor rgb="FFCCCCCC"/>
      <rgbColor rgb="FFD6E4FF"/>
      <rgbColor rgb="FF7F77DD"/>
      <rgbColor rgb="FF996B3D"/>
      <rgbColor rgb="FF1E6F50"/>
      <rgbColor rgb="FF0000FF"/>
      <rgbColor rgb="FF378ADD"/>
      <rgbColor rgb="FFE8F4E8"/>
      <rgbColor rgb="FFEAF3DE"/>
      <rgbColor rgb="FFFAEEDA"/>
      <rgbColor rgb="FF85B7EB"/>
      <rgbColor rgb="FFF0997B"/>
      <rgbColor rgb="FFB4B2A9"/>
      <rgbColor rgb="FFFAC775"/>
      <rgbColor rgb="FF2E75B6"/>
      <rgbColor rgb="FF5DCAA5"/>
      <rgbColor rgb="FF97C459"/>
      <rgbColor rgb="FFC0DD97"/>
      <rgbColor rgb="FFEF9F27"/>
      <rgbColor rgb="FFC55A11"/>
      <rgbColor rgb="FF5F5E5A"/>
      <rgbColor rgb="FF888888"/>
      <rgbColor rgb="FF1E3A5F"/>
      <rgbColor rgb="FF639922"/>
      <rgbColor rgb="FF555555"/>
      <rgbColor rgb="FF444441"/>
      <rgbColor rgb="FF854F0B"/>
      <rgbColor rgb="FFE24B4A"/>
      <rgbColor rgb="FF3C3489"/>
      <rgbColor rgb="FF4A35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1" width="16"/>
    <col collapsed="false" customWidth="true" hidden="false" outlineLevel="0" max="2" min="2" style="1" width="19"/>
    <col collapsed="false" customWidth="true" hidden="false" outlineLevel="0" max="4" min="3" style="1" width="32"/>
    <col collapsed="false" customWidth="true" hidden="false" outlineLevel="0" max="5" min="5" style="1" width="8.67"/>
    <col collapsed="false" customWidth="true" hidden="false" outlineLevel="0" max="6" min="6" style="1" width="3"/>
    <col collapsed="false" customWidth="true" hidden="false" outlineLevel="0" max="7" min="7" style="1" width="14"/>
    <col collapsed="false" customWidth="true" hidden="false" outlineLevel="0" max="8" min="8" style="1" width="26"/>
    <col collapsed="false" customWidth="true" hidden="false" outlineLevel="0" max="9" min="9" style="1" width="14"/>
    <col collapsed="false" customWidth="true" hidden="false" outlineLevel="0" max="10" min="10" style="1" width="12.56"/>
    <col collapsed="false" customWidth="true" hidden="false" outlineLevel="0" max="15" min="11" style="1" width="8.67"/>
  </cols>
  <sheetData>
    <row r="1" customFormat="false" ht="15" hidden="false" customHeight="true" outlineLevel="0" collapsed="false">
      <c r="A1" s="2" t="s">
        <v>0</v>
      </c>
      <c r="B1" s="2"/>
      <c r="C1" s="2"/>
      <c r="D1" s="2"/>
      <c r="G1" s="2" t="s">
        <v>1</v>
      </c>
      <c r="H1" s="2"/>
      <c r="I1" s="3"/>
      <c r="J1" s="4"/>
      <c r="K1" s="5"/>
      <c r="L1" s="5"/>
      <c r="M1" s="5"/>
      <c r="N1" s="5"/>
      <c r="O1" s="5"/>
      <c r="P1" s="1"/>
      <c r="Q1" s="1"/>
      <c r="R1" s="1"/>
      <c r="S1" s="1"/>
      <c r="T1" s="1"/>
      <c r="U1" s="1"/>
      <c r="V1" s="1"/>
      <c r="W1" s="1"/>
      <c r="X1" s="1"/>
      <c r="Y1" s="1"/>
      <c r="Z1" s="1"/>
    </row>
    <row r="2" customFormat="false" ht="16.5" hidden="false" customHeight="true" outlineLevel="0" collapsed="false">
      <c r="A2" s="6" t="s">
        <v>2</v>
      </c>
      <c r="B2" s="7" t="s">
        <v>3</v>
      </c>
      <c r="C2" s="6" t="s">
        <v>4</v>
      </c>
      <c r="D2" s="7" t="s">
        <v>5</v>
      </c>
      <c r="G2" s="6" t="s">
        <v>2</v>
      </c>
      <c r="H2" s="7" t="s">
        <v>5</v>
      </c>
      <c r="I2" s="8" t="s">
        <v>6</v>
      </c>
      <c r="J2" s="8" t="s">
        <v>7</v>
      </c>
      <c r="K2" s="9"/>
      <c r="L2" s="9"/>
      <c r="M2" s="9"/>
      <c r="N2" s="9"/>
      <c r="O2" s="9"/>
      <c r="P2" s="1"/>
      <c r="Q2" s="1"/>
      <c r="R2" s="1"/>
      <c r="S2" s="1"/>
      <c r="T2" s="1"/>
      <c r="U2" s="1"/>
      <c r="V2" s="1"/>
      <c r="W2" s="1"/>
      <c r="X2" s="1"/>
      <c r="Y2" s="1"/>
      <c r="Z2" s="1"/>
    </row>
    <row r="3" customFormat="false" ht="16.5" hidden="false" customHeight="true" outlineLevel="0" collapsed="false">
      <c r="A3" s="10" t="s">
        <v>8</v>
      </c>
      <c r="B3" s="11" t="s">
        <v>9</v>
      </c>
      <c r="C3" s="10" t="s">
        <v>10</v>
      </c>
      <c r="D3" s="11" t="s">
        <v>11</v>
      </c>
      <c r="G3" s="10" t="s">
        <v>12</v>
      </c>
      <c r="H3" s="11" t="s">
        <v>13</v>
      </c>
      <c r="I3" s="12" t="s">
        <v>14</v>
      </c>
      <c r="J3" s="12" t="s">
        <v>15</v>
      </c>
      <c r="K3" s="9"/>
      <c r="L3" s="9"/>
      <c r="M3" s="9"/>
      <c r="N3" s="9"/>
      <c r="O3" s="9"/>
      <c r="P3" s="1"/>
      <c r="Q3" s="1"/>
      <c r="R3" s="1"/>
      <c r="S3" s="1"/>
      <c r="T3" s="1"/>
      <c r="U3" s="1"/>
      <c r="V3" s="1"/>
      <c r="W3" s="1"/>
      <c r="X3" s="1"/>
      <c r="Y3" s="1"/>
      <c r="Z3" s="1"/>
    </row>
    <row r="4" customFormat="false" ht="16.5" hidden="false" customHeight="true" outlineLevel="0" collapsed="false">
      <c r="A4" s="13" t="s">
        <v>16</v>
      </c>
      <c r="B4" s="14" t="s">
        <v>17</v>
      </c>
      <c r="C4" s="13" t="s">
        <v>18</v>
      </c>
      <c r="D4" s="14" t="s">
        <v>19</v>
      </c>
      <c r="G4" s="13" t="s">
        <v>20</v>
      </c>
      <c r="H4" s="14" t="s">
        <v>21</v>
      </c>
      <c r="I4" s="12" t="s">
        <v>22</v>
      </c>
      <c r="J4" s="12" t="s">
        <v>23</v>
      </c>
      <c r="K4" s="9"/>
      <c r="L4" s="9"/>
      <c r="M4" s="9"/>
      <c r="N4" s="9"/>
      <c r="O4" s="9"/>
      <c r="P4" s="1"/>
      <c r="Q4" s="1"/>
      <c r="R4" s="1"/>
      <c r="S4" s="1"/>
      <c r="T4" s="1"/>
      <c r="U4" s="1"/>
      <c r="V4" s="1"/>
      <c r="W4" s="1"/>
      <c r="X4" s="1"/>
      <c r="Y4" s="1"/>
      <c r="Z4" s="1"/>
    </row>
    <row r="5" customFormat="false" ht="16.5" hidden="false" customHeight="true" outlineLevel="0" collapsed="false">
      <c r="A5" s="10" t="s">
        <v>24</v>
      </c>
      <c r="B5" s="11" t="s">
        <v>25</v>
      </c>
      <c r="C5" s="10" t="s">
        <v>26</v>
      </c>
      <c r="D5" s="11" t="s">
        <v>27</v>
      </c>
      <c r="G5" s="10" t="s">
        <v>28</v>
      </c>
      <c r="H5" s="11" t="s">
        <v>29</v>
      </c>
      <c r="I5" s="12" t="s">
        <v>30</v>
      </c>
      <c r="J5" s="12" t="s">
        <v>31</v>
      </c>
      <c r="K5" s="9"/>
      <c r="L5" s="9"/>
      <c r="M5" s="9"/>
      <c r="N5" s="9"/>
      <c r="O5" s="9"/>
      <c r="P5" s="1"/>
      <c r="Q5" s="1"/>
      <c r="R5" s="1"/>
      <c r="S5" s="1"/>
      <c r="T5" s="1"/>
      <c r="U5" s="1"/>
      <c r="V5" s="1"/>
      <c r="W5" s="1"/>
      <c r="X5" s="1"/>
      <c r="Y5" s="1"/>
      <c r="Z5" s="1"/>
    </row>
    <row r="6" customFormat="false" ht="16.5" hidden="false" customHeight="true" outlineLevel="0" collapsed="false">
      <c r="A6" s="13" t="s">
        <v>32</v>
      </c>
      <c r="B6" s="14" t="s">
        <v>33</v>
      </c>
      <c r="C6" s="13" t="s">
        <v>34</v>
      </c>
      <c r="D6" s="14" t="s">
        <v>35</v>
      </c>
      <c r="G6" s="13" t="s">
        <v>36</v>
      </c>
      <c r="H6" s="14" t="s">
        <v>37</v>
      </c>
      <c r="I6" s="12" t="s">
        <v>38</v>
      </c>
      <c r="J6" s="12" t="s">
        <v>39</v>
      </c>
      <c r="K6" s="9"/>
      <c r="L6" s="9"/>
      <c r="M6" s="9"/>
      <c r="N6" s="9"/>
      <c r="O6" s="9"/>
      <c r="P6" s="1"/>
      <c r="Q6" s="1"/>
      <c r="R6" s="1"/>
      <c r="S6" s="1"/>
      <c r="T6" s="1"/>
      <c r="U6" s="1"/>
      <c r="V6" s="1"/>
      <c r="W6" s="1"/>
      <c r="X6" s="1"/>
      <c r="Y6" s="1"/>
      <c r="Z6" s="1"/>
    </row>
    <row r="7" customFormat="false" ht="16.5" hidden="false" customHeight="true" outlineLevel="0" collapsed="false">
      <c r="A7" s="10" t="s">
        <v>40</v>
      </c>
      <c r="B7" s="11" t="s">
        <v>41</v>
      </c>
      <c r="C7" s="10" t="s">
        <v>42</v>
      </c>
      <c r="D7" s="11" t="s">
        <v>43</v>
      </c>
      <c r="G7" s="10" t="s">
        <v>44</v>
      </c>
      <c r="H7" s="11" t="s">
        <v>45</v>
      </c>
      <c r="I7" s="12" t="s">
        <v>46</v>
      </c>
      <c r="J7" s="12" t="s">
        <v>47</v>
      </c>
      <c r="K7" s="9"/>
      <c r="L7" s="9"/>
      <c r="M7" s="9"/>
      <c r="N7" s="9"/>
      <c r="P7" s="1"/>
      <c r="Q7" s="1"/>
      <c r="R7" s="1"/>
      <c r="S7" s="1"/>
      <c r="T7" s="1"/>
      <c r="U7" s="1"/>
      <c r="V7" s="1"/>
      <c r="W7" s="1"/>
      <c r="X7" s="1"/>
      <c r="Y7" s="1"/>
      <c r="Z7" s="1"/>
    </row>
    <row r="8" customFormat="false" ht="16.5" hidden="false" customHeight="true" outlineLevel="0" collapsed="false">
      <c r="A8" s="13" t="s">
        <v>48</v>
      </c>
      <c r="B8" s="14" t="s">
        <v>49</v>
      </c>
      <c r="C8" s="13" t="s">
        <v>50</v>
      </c>
      <c r="D8" s="14" t="s">
        <v>51</v>
      </c>
      <c r="G8" s="13" t="s">
        <v>52</v>
      </c>
      <c r="H8" s="14" t="s">
        <v>53</v>
      </c>
      <c r="I8" s="12" t="s">
        <v>54</v>
      </c>
      <c r="J8" s="12" t="s">
        <v>55</v>
      </c>
      <c r="K8" s="9"/>
      <c r="L8" s="9"/>
      <c r="M8" s="9"/>
      <c r="N8" s="9"/>
      <c r="P8" s="1"/>
      <c r="Q8" s="1"/>
      <c r="R8" s="1"/>
      <c r="S8" s="1"/>
      <c r="T8" s="1"/>
      <c r="U8" s="1"/>
      <c r="V8" s="1"/>
      <c r="W8" s="1"/>
      <c r="X8" s="1"/>
      <c r="Y8" s="1"/>
      <c r="Z8" s="1"/>
    </row>
    <row r="9" customFormat="false" ht="16.5" hidden="false" customHeight="true" outlineLevel="0" collapsed="false">
      <c r="A9" s="10" t="s">
        <v>56</v>
      </c>
      <c r="B9" s="11" t="s">
        <v>57</v>
      </c>
      <c r="C9" s="10" t="s">
        <v>58</v>
      </c>
      <c r="D9" s="11" t="s">
        <v>59</v>
      </c>
      <c r="G9" s="10" t="s">
        <v>60</v>
      </c>
      <c r="H9" s="11" t="s">
        <v>61</v>
      </c>
      <c r="I9" s="12" t="s">
        <v>62</v>
      </c>
      <c r="J9" s="12" t="s">
        <v>63</v>
      </c>
      <c r="K9" s="9"/>
      <c r="M9" s="9"/>
      <c r="P9" s="1"/>
      <c r="Q9" s="1"/>
      <c r="R9" s="1"/>
      <c r="S9" s="1"/>
      <c r="T9" s="1"/>
      <c r="U9" s="1"/>
      <c r="V9" s="1"/>
      <c r="W9" s="1"/>
      <c r="X9" s="1"/>
      <c r="Y9" s="1"/>
      <c r="Z9" s="1"/>
    </row>
    <row r="10" customFormat="false" ht="16.5" hidden="false" customHeight="true" outlineLevel="0" collapsed="false">
      <c r="A10" s="15"/>
      <c r="B10" s="16"/>
      <c r="C10" s="15"/>
      <c r="D10" s="16"/>
      <c r="G10" s="13" t="s">
        <v>64</v>
      </c>
      <c r="H10" s="14" t="s">
        <v>65</v>
      </c>
      <c r="I10" s="12" t="s">
        <v>66</v>
      </c>
      <c r="J10" s="12" t="s">
        <v>23</v>
      </c>
      <c r="K10" s="9"/>
      <c r="M10" s="9"/>
      <c r="P10" s="1"/>
      <c r="Q10" s="1"/>
      <c r="R10" s="1"/>
      <c r="S10" s="1"/>
      <c r="T10" s="1"/>
      <c r="U10" s="1"/>
      <c r="V10" s="1"/>
      <c r="W10" s="1"/>
      <c r="X10" s="1"/>
      <c r="Y10" s="1"/>
      <c r="Z10" s="1"/>
    </row>
    <row r="11" customFormat="false" ht="16.5" hidden="false" customHeight="true" outlineLevel="0" collapsed="false">
      <c r="A11" s="15"/>
      <c r="B11" s="16"/>
      <c r="C11" s="15"/>
      <c r="D11" s="16"/>
      <c r="G11" s="10" t="s">
        <v>67</v>
      </c>
      <c r="H11" s="11" t="s">
        <v>68</v>
      </c>
      <c r="I11" s="12" t="s">
        <v>46</v>
      </c>
      <c r="J11" s="12" t="s">
        <v>69</v>
      </c>
      <c r="K11" s="9"/>
      <c r="M11" s="9"/>
      <c r="P11" s="1"/>
      <c r="Q11" s="1"/>
      <c r="R11" s="1"/>
      <c r="S11" s="1"/>
      <c r="T11" s="1"/>
      <c r="U11" s="1"/>
      <c r="V11" s="1"/>
      <c r="W11" s="1"/>
      <c r="X11" s="1"/>
      <c r="Y11" s="1"/>
      <c r="Z11" s="1"/>
    </row>
    <row r="12" customFormat="false" ht="16.5" hidden="false" customHeight="true" outlineLevel="0" collapsed="false">
      <c r="A12" s="2" t="s">
        <v>70</v>
      </c>
      <c r="B12" s="2"/>
      <c r="C12" s="2"/>
      <c r="D12" s="2"/>
      <c r="K12" s="9"/>
      <c r="P12" s="1"/>
      <c r="Q12" s="1"/>
      <c r="R12" s="1"/>
      <c r="S12" s="1"/>
      <c r="T12" s="1"/>
      <c r="U12" s="1"/>
      <c r="V12" s="1"/>
      <c r="W12" s="1"/>
      <c r="X12" s="1"/>
      <c r="Y12" s="1"/>
      <c r="Z12" s="1"/>
    </row>
    <row r="13" customFormat="false" ht="16.5" hidden="false" customHeight="true" outlineLevel="0" collapsed="false">
      <c r="A13" s="6" t="s">
        <v>2</v>
      </c>
      <c r="B13" s="7" t="s">
        <v>3</v>
      </c>
      <c r="C13" s="6" t="s">
        <v>4</v>
      </c>
      <c r="D13" s="7" t="s">
        <v>5</v>
      </c>
      <c r="K13" s="9"/>
      <c r="P13" s="1"/>
      <c r="Q13" s="1"/>
      <c r="R13" s="1"/>
      <c r="S13" s="1"/>
      <c r="T13" s="1"/>
      <c r="U13" s="1"/>
      <c r="V13" s="1"/>
      <c r="W13" s="1"/>
      <c r="X13" s="1"/>
      <c r="Y13" s="1"/>
      <c r="Z13" s="1"/>
    </row>
    <row r="14" customFormat="false" ht="16.5" hidden="false" customHeight="true" outlineLevel="0" collapsed="false">
      <c r="A14" s="10" t="s">
        <v>71</v>
      </c>
      <c r="B14" s="11" t="s">
        <v>72</v>
      </c>
      <c r="C14" s="10" t="s">
        <v>73</v>
      </c>
      <c r="D14" s="11" t="s">
        <v>74</v>
      </c>
      <c r="G14" s="2" t="s">
        <v>75</v>
      </c>
      <c r="H14" s="2"/>
      <c r="K14" s="9"/>
      <c r="P14" s="1"/>
      <c r="Q14" s="1"/>
      <c r="R14" s="1"/>
      <c r="S14" s="1"/>
      <c r="T14" s="1"/>
      <c r="U14" s="1"/>
      <c r="V14" s="1"/>
      <c r="W14" s="1"/>
      <c r="X14" s="1"/>
      <c r="Y14" s="1"/>
      <c r="Z14" s="1"/>
    </row>
    <row r="15" customFormat="false" ht="16.5" hidden="false" customHeight="true" outlineLevel="0" collapsed="false">
      <c r="A15" s="13" t="s">
        <v>76</v>
      </c>
      <c r="B15" s="14" t="s">
        <v>77</v>
      </c>
      <c r="C15" s="13" t="s">
        <v>26</v>
      </c>
      <c r="D15" s="14" t="s">
        <v>78</v>
      </c>
      <c r="G15" s="6" t="s">
        <v>2</v>
      </c>
      <c r="H15" s="7" t="s">
        <v>5</v>
      </c>
      <c r="K15" s="9"/>
      <c r="P15" s="1"/>
      <c r="Q15" s="1"/>
      <c r="R15" s="1"/>
      <c r="S15" s="1"/>
      <c r="T15" s="1"/>
      <c r="U15" s="1"/>
      <c r="V15" s="1"/>
      <c r="W15" s="1"/>
      <c r="X15" s="1"/>
      <c r="Y15" s="1"/>
      <c r="Z15" s="1"/>
    </row>
    <row r="16" customFormat="false" ht="15" hidden="false" customHeight="true" outlineLevel="0" collapsed="false">
      <c r="A16" s="10" t="s">
        <v>79</v>
      </c>
      <c r="B16" s="11" t="s">
        <v>80</v>
      </c>
      <c r="C16" s="10" t="s">
        <v>81</v>
      </c>
      <c r="D16" s="11" t="s">
        <v>82</v>
      </c>
      <c r="G16" s="10" t="s">
        <v>83</v>
      </c>
      <c r="H16" s="11" t="s">
        <v>84</v>
      </c>
      <c r="P16" s="1"/>
      <c r="Q16" s="1"/>
      <c r="R16" s="1"/>
      <c r="S16" s="1"/>
      <c r="T16" s="1"/>
      <c r="U16" s="1"/>
      <c r="V16" s="1"/>
      <c r="W16" s="1"/>
      <c r="X16" s="1"/>
      <c r="Y16" s="1"/>
      <c r="Z16" s="1"/>
    </row>
    <row r="17" customFormat="false" ht="15" hidden="false" customHeight="true" outlineLevel="0" collapsed="false">
      <c r="A17" s="13" t="s">
        <v>85</v>
      </c>
      <c r="B17" s="14" t="s">
        <v>86</v>
      </c>
      <c r="C17" s="13" t="s">
        <v>87</v>
      </c>
      <c r="D17" s="14" t="s">
        <v>88</v>
      </c>
      <c r="G17" s="13" t="s">
        <v>89</v>
      </c>
      <c r="H17" s="14" t="s">
        <v>90</v>
      </c>
      <c r="P17" s="1"/>
      <c r="Q17" s="1"/>
      <c r="R17" s="1"/>
      <c r="S17" s="1"/>
      <c r="T17" s="1"/>
      <c r="U17" s="1"/>
      <c r="V17" s="1"/>
      <c r="W17" s="1"/>
      <c r="X17" s="1"/>
      <c r="Y17" s="1"/>
      <c r="Z17" s="1"/>
    </row>
    <row r="18" customFormat="false" ht="15" hidden="false" customHeight="true" outlineLevel="0" collapsed="false">
      <c r="A18" s="10" t="s">
        <v>91</v>
      </c>
      <c r="B18" s="11" t="s">
        <v>92</v>
      </c>
      <c r="C18" s="10" t="s">
        <v>93</v>
      </c>
      <c r="D18" s="11" t="s">
        <v>94</v>
      </c>
      <c r="G18" s="10" t="s">
        <v>95</v>
      </c>
      <c r="H18" s="11" t="s">
        <v>96</v>
      </c>
      <c r="P18" s="1"/>
      <c r="Q18" s="1"/>
      <c r="R18" s="1"/>
      <c r="S18" s="1"/>
      <c r="T18" s="1"/>
      <c r="U18" s="1"/>
      <c r="V18" s="1"/>
      <c r="W18" s="1"/>
      <c r="X18" s="1"/>
      <c r="Y18" s="1"/>
      <c r="Z18" s="1"/>
    </row>
    <row r="19" customFormat="false" ht="15" hidden="false" customHeight="true" outlineLevel="0" collapsed="false">
      <c r="A19" s="13" t="s">
        <v>97</v>
      </c>
      <c r="B19" s="14" t="s">
        <v>98</v>
      </c>
      <c r="C19" s="13" t="s">
        <v>99</v>
      </c>
      <c r="D19" s="14" t="s">
        <v>100</v>
      </c>
      <c r="G19" s="13" t="s">
        <v>101</v>
      </c>
      <c r="H19" s="14" t="s">
        <v>102</v>
      </c>
      <c r="P19" s="1"/>
      <c r="Q19" s="1"/>
      <c r="R19" s="1"/>
      <c r="S19" s="1"/>
      <c r="T19" s="1"/>
      <c r="U19" s="1"/>
      <c r="V19" s="1"/>
      <c r="W19" s="1"/>
      <c r="X19" s="1"/>
      <c r="Y19" s="1"/>
      <c r="Z19" s="1"/>
    </row>
    <row r="20" customFormat="false" ht="15" hidden="false" customHeight="true" outlineLevel="0" collapsed="false">
      <c r="A20" s="13" t="s">
        <v>103</v>
      </c>
      <c r="B20" s="14" t="s">
        <v>104</v>
      </c>
      <c r="C20" s="13" t="s">
        <v>105</v>
      </c>
      <c r="D20" s="14" t="s">
        <v>106</v>
      </c>
      <c r="G20" s="13" t="s">
        <v>107</v>
      </c>
      <c r="H20" s="14" t="s">
        <v>108</v>
      </c>
      <c r="P20" s="1"/>
      <c r="Q20" s="1"/>
      <c r="R20" s="1"/>
      <c r="S20" s="1"/>
      <c r="T20" s="1"/>
      <c r="U20" s="1"/>
      <c r="V20" s="1"/>
      <c r="W20" s="1"/>
      <c r="X20" s="1"/>
      <c r="Y20" s="1"/>
      <c r="Z20" s="1"/>
    </row>
    <row r="21" customFormat="false" ht="15" hidden="false" customHeight="true" outlineLevel="0" collapsed="false">
      <c r="A21" s="10" t="s">
        <v>109</v>
      </c>
      <c r="B21" s="11" t="s">
        <v>110</v>
      </c>
      <c r="C21" s="10" t="s">
        <v>111</v>
      </c>
      <c r="D21" s="11" t="s">
        <v>112</v>
      </c>
      <c r="G21" s="10" t="s">
        <v>113</v>
      </c>
      <c r="H21" s="11" t="s">
        <v>114</v>
      </c>
      <c r="P21" s="1"/>
      <c r="Q21" s="1"/>
      <c r="R21" s="1"/>
      <c r="S21" s="1"/>
      <c r="T21" s="1"/>
      <c r="U21" s="1"/>
      <c r="V21" s="1"/>
      <c r="W21" s="1"/>
      <c r="X21" s="1"/>
      <c r="Y21" s="1"/>
      <c r="Z21" s="1"/>
    </row>
    <row r="22" customFormat="false" ht="15.75" hidden="false" customHeight="true" outlineLevel="0" collapsed="false">
      <c r="A22" s="13" t="s">
        <v>115</v>
      </c>
      <c r="B22" s="14" t="s">
        <v>116</v>
      </c>
      <c r="C22" s="13" t="s">
        <v>117</v>
      </c>
      <c r="D22" s="14" t="s">
        <v>118</v>
      </c>
      <c r="P22" s="1"/>
      <c r="Q22" s="1"/>
      <c r="R22" s="1"/>
      <c r="S22" s="1"/>
      <c r="T22" s="1"/>
      <c r="U22" s="1"/>
      <c r="V22" s="1"/>
      <c r="W22" s="1"/>
      <c r="X22" s="1"/>
      <c r="Y22" s="1"/>
      <c r="Z22" s="1"/>
    </row>
    <row r="23" customFormat="false" ht="15.75" hidden="false" customHeight="true" outlineLevel="0" collapsed="false">
      <c r="A23" s="10" t="s">
        <v>119</v>
      </c>
      <c r="B23" s="11" t="s">
        <v>120</v>
      </c>
      <c r="C23" s="10" t="s">
        <v>121</v>
      </c>
      <c r="D23" s="11" t="s">
        <v>122</v>
      </c>
      <c r="G23" s="2" t="s">
        <v>123</v>
      </c>
      <c r="H23" s="2"/>
      <c r="P23" s="1"/>
      <c r="Q23" s="1"/>
      <c r="R23" s="1"/>
      <c r="S23" s="1"/>
      <c r="T23" s="1"/>
      <c r="U23" s="1"/>
      <c r="V23" s="1"/>
      <c r="W23" s="1"/>
      <c r="X23" s="1"/>
      <c r="Y23" s="1"/>
      <c r="Z23" s="1"/>
    </row>
    <row r="24" customFormat="false" ht="15.75" hidden="false" customHeight="true" outlineLevel="0" collapsed="false">
      <c r="A24" s="13" t="s">
        <v>124</v>
      </c>
      <c r="B24" s="14" t="s">
        <v>125</v>
      </c>
      <c r="C24" s="13" t="s">
        <v>99</v>
      </c>
      <c r="D24" s="14" t="s">
        <v>126</v>
      </c>
      <c r="G24" s="6" t="s">
        <v>2</v>
      </c>
      <c r="H24" s="7" t="s">
        <v>5</v>
      </c>
      <c r="P24" s="1"/>
      <c r="Q24" s="1"/>
      <c r="R24" s="1"/>
      <c r="S24" s="1"/>
      <c r="T24" s="1"/>
      <c r="U24" s="1"/>
      <c r="V24" s="1"/>
      <c r="W24" s="1"/>
      <c r="X24" s="1"/>
      <c r="Y24" s="1"/>
      <c r="Z24" s="1"/>
    </row>
    <row r="25" customFormat="false" ht="15.75" hidden="false" customHeight="true" outlineLevel="0" collapsed="false">
      <c r="A25" s="2" t="s">
        <v>127</v>
      </c>
      <c r="B25" s="2"/>
      <c r="C25" s="2"/>
      <c r="G25" s="10" t="s">
        <v>128</v>
      </c>
      <c r="H25" s="11" t="s">
        <v>129</v>
      </c>
      <c r="P25" s="1"/>
      <c r="Q25" s="1"/>
      <c r="R25" s="1"/>
      <c r="S25" s="1"/>
      <c r="T25" s="1"/>
      <c r="U25" s="1"/>
      <c r="V25" s="1"/>
      <c r="W25" s="1"/>
      <c r="X25" s="1"/>
      <c r="Y25" s="1"/>
      <c r="Z25" s="1"/>
    </row>
    <row r="26" customFormat="false" ht="15.75" hidden="false" customHeight="true" outlineLevel="0" collapsed="false">
      <c r="A26" s="6" t="s">
        <v>2</v>
      </c>
      <c r="B26" s="7" t="s">
        <v>130</v>
      </c>
      <c r="C26" s="7" t="s">
        <v>5</v>
      </c>
      <c r="G26" s="13" t="s">
        <v>0</v>
      </c>
      <c r="H26" s="14" t="s">
        <v>131</v>
      </c>
      <c r="P26" s="1"/>
      <c r="Q26" s="1"/>
      <c r="R26" s="1"/>
      <c r="S26" s="1"/>
      <c r="T26" s="1"/>
      <c r="U26" s="1"/>
      <c r="V26" s="1"/>
      <c r="W26" s="1"/>
      <c r="X26" s="1"/>
      <c r="Y26" s="1"/>
      <c r="Z26" s="1"/>
    </row>
    <row r="27" customFormat="false" ht="15.75" hidden="false" customHeight="true" outlineLevel="0" collapsed="false">
      <c r="A27" s="10" t="s">
        <v>132</v>
      </c>
      <c r="B27" s="11" t="s">
        <v>133</v>
      </c>
      <c r="C27" s="11" t="s">
        <v>134</v>
      </c>
      <c r="G27" s="10" t="s">
        <v>135</v>
      </c>
      <c r="H27" s="11" t="s">
        <v>136</v>
      </c>
      <c r="P27" s="1"/>
      <c r="Q27" s="1"/>
      <c r="R27" s="1"/>
      <c r="S27" s="1"/>
      <c r="T27" s="1"/>
      <c r="U27" s="1"/>
      <c r="V27" s="1"/>
      <c r="W27" s="1"/>
      <c r="X27" s="1"/>
      <c r="Y27" s="1"/>
      <c r="Z27" s="1"/>
    </row>
    <row r="28" customFormat="false" ht="15.75" hidden="false" customHeight="true" outlineLevel="0" collapsed="false">
      <c r="A28" s="13" t="s">
        <v>137</v>
      </c>
      <c r="B28" s="14" t="s">
        <v>63</v>
      </c>
      <c r="C28" s="14" t="s">
        <v>138</v>
      </c>
      <c r="G28" s="13" t="s">
        <v>139</v>
      </c>
      <c r="H28" s="14" t="s">
        <v>140</v>
      </c>
      <c r="P28" s="1"/>
      <c r="Q28" s="1"/>
      <c r="R28" s="1"/>
      <c r="S28" s="1"/>
      <c r="T28" s="1"/>
      <c r="U28" s="1"/>
      <c r="V28" s="1"/>
      <c r="W28" s="1"/>
      <c r="X28" s="1"/>
      <c r="Y28" s="1"/>
      <c r="Z28" s="1"/>
    </row>
    <row r="29" customFormat="false" ht="15.75" hidden="false" customHeight="true" outlineLevel="0" collapsed="false">
      <c r="A29" s="10" t="s">
        <v>141</v>
      </c>
      <c r="B29" s="11" t="s">
        <v>142</v>
      </c>
      <c r="C29" s="11" t="s">
        <v>143</v>
      </c>
      <c r="G29" s="10" t="s">
        <v>144</v>
      </c>
      <c r="H29" s="11" t="s">
        <v>145</v>
      </c>
      <c r="P29" s="1"/>
      <c r="Q29" s="1"/>
      <c r="R29" s="1"/>
      <c r="S29" s="1"/>
      <c r="T29" s="1"/>
      <c r="U29" s="1"/>
      <c r="V29" s="1"/>
      <c r="W29" s="1"/>
      <c r="X29" s="1"/>
      <c r="Y29" s="1"/>
      <c r="Z29" s="1"/>
    </row>
    <row r="30" customFormat="false" ht="15.75" hidden="false" customHeight="true" outlineLevel="0" collapsed="false">
      <c r="A30" s="13" t="s">
        <v>146</v>
      </c>
      <c r="B30" s="14" t="s">
        <v>147</v>
      </c>
      <c r="C30" s="14" t="s">
        <v>148</v>
      </c>
      <c r="P30" s="1"/>
      <c r="Q30" s="1"/>
      <c r="R30" s="1"/>
      <c r="S30" s="1"/>
      <c r="T30" s="1"/>
      <c r="U30" s="1"/>
      <c r="V30" s="1"/>
      <c r="W30" s="1"/>
      <c r="X30" s="1"/>
      <c r="Y30" s="1"/>
      <c r="Z30" s="1"/>
    </row>
    <row r="31" customFormat="false" ht="15.75" hidden="false" customHeight="true" outlineLevel="0" collapsed="false">
      <c r="A31" s="10" t="s">
        <v>149</v>
      </c>
      <c r="B31" s="11" t="s">
        <v>150</v>
      </c>
      <c r="C31" s="11" t="s">
        <v>151</v>
      </c>
      <c r="P31" s="1"/>
      <c r="Q31" s="1"/>
      <c r="R31" s="1"/>
      <c r="S31" s="1"/>
      <c r="T31" s="1"/>
      <c r="U31" s="1"/>
      <c r="V31" s="1"/>
      <c r="W31" s="1"/>
      <c r="X31" s="1"/>
      <c r="Y31" s="1"/>
      <c r="Z31" s="1"/>
    </row>
    <row r="32" customFormat="false" ht="15.75" hidden="false" customHeight="true" outlineLevel="0" collapsed="false">
      <c r="A32" s="13" t="s">
        <v>152</v>
      </c>
      <c r="B32" s="14" t="s">
        <v>153</v>
      </c>
      <c r="C32" s="14" t="s">
        <v>154</v>
      </c>
      <c r="P32" s="1"/>
      <c r="Q32" s="1"/>
      <c r="R32" s="1"/>
      <c r="S32" s="1"/>
      <c r="T32" s="1"/>
      <c r="U32" s="1"/>
      <c r="V32" s="1"/>
      <c r="W32" s="1"/>
      <c r="X32" s="1"/>
      <c r="Y32" s="1"/>
      <c r="Z32" s="1"/>
    </row>
    <row r="33" customFormat="false" ht="15.75" hidden="false" customHeight="true" outlineLevel="0" collapsed="false">
      <c r="A33" s="10" t="s">
        <v>155</v>
      </c>
      <c r="B33" s="11" t="s">
        <v>156</v>
      </c>
      <c r="C33" s="11" t="s">
        <v>157</v>
      </c>
      <c r="P33" s="1"/>
      <c r="Q33" s="1"/>
      <c r="R33" s="1"/>
      <c r="S33" s="1"/>
      <c r="T33" s="1"/>
      <c r="U33" s="1"/>
      <c r="V33" s="1"/>
      <c r="W33" s="1"/>
      <c r="X33" s="1"/>
      <c r="Y33" s="1"/>
      <c r="Z33" s="1"/>
    </row>
    <row r="34" customFormat="false" ht="15.75" hidden="false" customHeight="true" outlineLevel="0" collapsed="false">
      <c r="P34" s="1"/>
      <c r="Q34" s="1"/>
      <c r="R34" s="1"/>
      <c r="S34" s="1"/>
      <c r="T34" s="1"/>
      <c r="U34" s="1"/>
      <c r="V34" s="1"/>
      <c r="W34" s="1"/>
      <c r="X34" s="1"/>
      <c r="Y34" s="1"/>
      <c r="Z34" s="1"/>
    </row>
    <row r="35" customFormat="false" ht="15.75" hidden="false" customHeight="true" outlineLevel="0" collapsed="false">
      <c r="P35" s="1"/>
      <c r="Q35" s="1"/>
      <c r="R35" s="1"/>
      <c r="S35" s="1"/>
      <c r="T35" s="1"/>
      <c r="U35" s="1"/>
      <c r="V35" s="1"/>
      <c r="W35" s="1"/>
      <c r="X35" s="1"/>
      <c r="Y35" s="1"/>
      <c r="Z35" s="1"/>
    </row>
    <row r="36" customFormat="false" ht="15.75" hidden="false" customHeight="true" outlineLevel="0" collapsed="false">
      <c r="A36" s="17" t="s">
        <v>158</v>
      </c>
      <c r="P36" s="1"/>
      <c r="Q36" s="1"/>
      <c r="R36" s="1"/>
      <c r="S36" s="1"/>
      <c r="T36" s="1"/>
      <c r="U36" s="1"/>
      <c r="V36" s="1"/>
      <c r="W36" s="1"/>
      <c r="X36" s="1"/>
      <c r="Y36" s="1"/>
      <c r="Z36" s="1"/>
    </row>
    <row r="37" customFormat="false" ht="15.75" hidden="false" customHeight="true" outlineLevel="0" collapsed="false">
      <c r="A37" s="18" t="s">
        <v>159</v>
      </c>
      <c r="P37" s="1"/>
      <c r="Q37" s="1"/>
      <c r="R37" s="1"/>
      <c r="S37" s="1"/>
      <c r="T37" s="1"/>
      <c r="U37" s="1"/>
      <c r="V37" s="1"/>
      <c r="W37" s="1"/>
      <c r="X37" s="1"/>
      <c r="Y37" s="1"/>
      <c r="Z37" s="1"/>
    </row>
    <row r="38" customFormat="false" ht="15.75" hidden="false" customHeight="true" outlineLevel="0" collapsed="false">
      <c r="A38" s="19" t="s">
        <v>160</v>
      </c>
      <c r="P38" s="1"/>
      <c r="Q38" s="1"/>
      <c r="R38" s="1"/>
      <c r="S38" s="1"/>
      <c r="T38" s="1"/>
      <c r="U38" s="1"/>
      <c r="V38" s="1"/>
      <c r="W38" s="1"/>
      <c r="X38" s="1"/>
      <c r="Y38" s="1"/>
      <c r="Z38" s="1"/>
    </row>
    <row r="39" customFormat="false" ht="15.75" hidden="false" customHeight="true" outlineLevel="0" collapsed="false">
      <c r="P39" s="1"/>
      <c r="Q39" s="1"/>
      <c r="R39" s="1"/>
      <c r="S39" s="1"/>
      <c r="T39" s="1"/>
      <c r="U39" s="1"/>
      <c r="V39" s="1"/>
      <c r="W39" s="1"/>
      <c r="X39" s="1"/>
      <c r="Y39" s="1"/>
      <c r="Z39" s="1"/>
    </row>
    <row r="40" customFormat="false" ht="15.75" hidden="false" customHeight="true" outlineLevel="0" collapsed="false">
      <c r="P40" s="1"/>
      <c r="Q40" s="1"/>
      <c r="R40" s="1"/>
      <c r="S40" s="1"/>
      <c r="T40" s="1"/>
      <c r="U40" s="1"/>
      <c r="V40" s="1"/>
      <c r="W40" s="1"/>
      <c r="X40" s="1"/>
      <c r="Y40" s="1"/>
      <c r="Z40" s="1"/>
    </row>
    <row r="41" customFormat="false" ht="15.75" hidden="false" customHeight="true" outlineLevel="0" collapsed="false">
      <c r="P41" s="1"/>
      <c r="Q41" s="1"/>
      <c r="R41" s="1"/>
      <c r="S41" s="1"/>
      <c r="T41" s="1"/>
      <c r="U41" s="1"/>
      <c r="V41" s="1"/>
      <c r="W41" s="1"/>
      <c r="X41" s="1"/>
      <c r="Y41" s="1"/>
      <c r="Z41" s="1"/>
    </row>
    <row r="42" customFormat="false" ht="15.75" hidden="false" customHeight="true" outlineLevel="0" collapsed="false">
      <c r="P42" s="1"/>
      <c r="Q42" s="1"/>
      <c r="R42" s="1"/>
      <c r="S42" s="1"/>
      <c r="T42" s="1"/>
      <c r="U42" s="1"/>
      <c r="V42" s="1"/>
      <c r="W42" s="1"/>
      <c r="X42" s="1"/>
      <c r="Y42" s="1"/>
      <c r="Z42" s="1"/>
    </row>
    <row r="43" customFormat="false" ht="15.75" hidden="false" customHeight="true" outlineLevel="0" collapsed="false">
      <c r="P43" s="1"/>
      <c r="Q43" s="1"/>
      <c r="R43" s="1"/>
      <c r="S43" s="1"/>
      <c r="T43" s="1"/>
      <c r="U43" s="1"/>
      <c r="V43" s="1"/>
      <c r="W43" s="1"/>
      <c r="X43" s="1"/>
      <c r="Y43" s="1"/>
      <c r="Z43" s="1"/>
    </row>
    <row r="44" customFormat="false" ht="15.75" hidden="false" customHeight="true" outlineLevel="0" collapsed="false">
      <c r="P44" s="1"/>
      <c r="Q44" s="1"/>
      <c r="R44" s="1"/>
      <c r="S44" s="1"/>
      <c r="T44" s="1"/>
      <c r="U44" s="1"/>
      <c r="V44" s="1"/>
      <c r="W44" s="1"/>
      <c r="X44" s="1"/>
      <c r="Y44" s="1"/>
      <c r="Z44" s="1"/>
    </row>
    <row r="45" customFormat="false" ht="15.75" hidden="false" customHeight="true" outlineLevel="0" collapsed="false">
      <c r="P45" s="1"/>
      <c r="Q45" s="1"/>
      <c r="R45" s="1"/>
      <c r="S45" s="1"/>
      <c r="T45" s="1"/>
      <c r="U45" s="1"/>
      <c r="V45" s="1"/>
      <c r="W45" s="1"/>
      <c r="X45" s="1"/>
      <c r="Y45" s="1"/>
      <c r="Z45" s="1"/>
    </row>
    <row r="46" customFormat="false" ht="15.75" hidden="false" customHeight="true" outlineLevel="0" collapsed="false">
      <c r="P46" s="1"/>
      <c r="Q46" s="1"/>
      <c r="R46" s="1"/>
      <c r="S46" s="1"/>
      <c r="T46" s="1"/>
      <c r="U46" s="1"/>
      <c r="V46" s="1"/>
      <c r="W46" s="1"/>
      <c r="X46" s="1"/>
      <c r="Y46" s="1"/>
      <c r="Z46" s="1"/>
    </row>
    <row r="47" customFormat="false" ht="15.75" hidden="false" customHeight="true" outlineLevel="0" collapsed="false">
      <c r="P47" s="1"/>
      <c r="Q47" s="1"/>
      <c r="R47" s="1"/>
      <c r="S47" s="1"/>
      <c r="T47" s="1"/>
      <c r="U47" s="1"/>
      <c r="V47" s="1"/>
      <c r="W47" s="1"/>
      <c r="X47" s="1"/>
      <c r="Y47" s="1"/>
      <c r="Z47" s="1"/>
    </row>
    <row r="48" customFormat="false" ht="15.75" hidden="false" customHeight="true" outlineLevel="0" collapsed="false">
      <c r="P48" s="1"/>
      <c r="Q48" s="1"/>
      <c r="R48" s="1"/>
      <c r="S48" s="1"/>
      <c r="T48" s="1"/>
      <c r="U48" s="1"/>
      <c r="V48" s="1"/>
      <c r="W48" s="1"/>
      <c r="X48" s="1"/>
      <c r="Y48" s="1"/>
      <c r="Z48" s="1"/>
    </row>
    <row r="49" customFormat="false" ht="15.75" hidden="false" customHeight="true" outlineLevel="0" collapsed="false">
      <c r="P49" s="1"/>
      <c r="Q49" s="1"/>
      <c r="R49" s="1"/>
      <c r="S49" s="1"/>
      <c r="T49" s="1"/>
      <c r="U49" s="1"/>
      <c r="V49" s="1"/>
      <c r="W49" s="1"/>
      <c r="X49" s="1"/>
      <c r="Y49" s="1"/>
      <c r="Z49" s="1"/>
    </row>
    <row r="50" customFormat="false" ht="15.75" hidden="false" customHeight="true" outlineLevel="0" collapsed="false">
      <c r="P50" s="1"/>
      <c r="Q50" s="1"/>
      <c r="R50" s="1"/>
      <c r="S50" s="1"/>
      <c r="T50" s="1"/>
      <c r="U50" s="1"/>
      <c r="V50" s="1"/>
      <c r="W50" s="1"/>
      <c r="X50" s="1"/>
      <c r="Y50" s="1"/>
      <c r="Z50" s="1"/>
    </row>
    <row r="51" customFormat="false" ht="15.75" hidden="false" customHeight="true" outlineLevel="0" collapsed="false">
      <c r="P51" s="1"/>
      <c r="Q51" s="1"/>
      <c r="R51" s="1"/>
      <c r="S51" s="1"/>
      <c r="T51" s="1"/>
      <c r="U51" s="1"/>
      <c r="V51" s="1"/>
      <c r="W51" s="1"/>
      <c r="X51" s="1"/>
      <c r="Y51" s="1"/>
      <c r="Z51" s="1"/>
    </row>
    <row r="52" customFormat="false" ht="15.75" hidden="false" customHeight="true" outlineLevel="0" collapsed="false">
      <c r="P52" s="1"/>
      <c r="Q52" s="1"/>
      <c r="R52" s="1"/>
      <c r="S52" s="1"/>
      <c r="T52" s="1"/>
      <c r="U52" s="1"/>
      <c r="V52" s="1"/>
      <c r="W52" s="1"/>
      <c r="X52" s="1"/>
      <c r="Y52" s="1"/>
      <c r="Z52" s="1"/>
    </row>
    <row r="53" customFormat="false" ht="15.75" hidden="false" customHeight="true" outlineLevel="0" collapsed="false">
      <c r="P53" s="1"/>
      <c r="Q53" s="1"/>
      <c r="R53" s="1"/>
      <c r="S53" s="1"/>
      <c r="T53" s="1"/>
      <c r="U53" s="1"/>
      <c r="V53" s="1"/>
      <c r="W53" s="1"/>
      <c r="X53" s="1"/>
      <c r="Y53" s="1"/>
      <c r="Z53" s="1"/>
    </row>
    <row r="54" customFormat="false" ht="15.75" hidden="false" customHeight="true" outlineLevel="0" collapsed="false">
      <c r="P54" s="1"/>
      <c r="Q54" s="1"/>
      <c r="R54" s="1"/>
      <c r="S54" s="1"/>
      <c r="T54" s="1"/>
      <c r="U54" s="1"/>
      <c r="V54" s="1"/>
      <c r="W54" s="1"/>
      <c r="X54" s="1"/>
      <c r="Y54" s="1"/>
      <c r="Z54" s="1"/>
    </row>
    <row r="55" customFormat="false" ht="15.75" hidden="false" customHeight="true" outlineLevel="0" collapsed="false">
      <c r="P55" s="1"/>
      <c r="Q55" s="1"/>
      <c r="R55" s="1"/>
      <c r="S55" s="1"/>
      <c r="T55" s="1"/>
      <c r="U55" s="1"/>
      <c r="V55" s="1"/>
      <c r="W55" s="1"/>
      <c r="X55" s="1"/>
      <c r="Y55" s="1"/>
      <c r="Z55" s="1"/>
    </row>
    <row r="56" customFormat="false" ht="15.75" hidden="false" customHeight="true" outlineLevel="0" collapsed="false">
      <c r="P56" s="1"/>
      <c r="Q56" s="1"/>
      <c r="R56" s="1"/>
      <c r="S56" s="1"/>
      <c r="T56" s="1"/>
      <c r="U56" s="1"/>
      <c r="V56" s="1"/>
      <c r="W56" s="1"/>
      <c r="X56" s="1"/>
      <c r="Y56" s="1"/>
      <c r="Z56" s="1"/>
    </row>
    <row r="57" customFormat="false" ht="15.75" hidden="false" customHeight="true" outlineLevel="0" collapsed="false">
      <c r="P57" s="1"/>
      <c r="Q57" s="1"/>
      <c r="R57" s="1"/>
      <c r="S57" s="1"/>
      <c r="T57" s="1"/>
      <c r="U57" s="1"/>
      <c r="V57" s="1"/>
      <c r="W57" s="1"/>
      <c r="X57" s="1"/>
      <c r="Y57" s="1"/>
      <c r="Z57" s="1"/>
    </row>
    <row r="58" customFormat="false" ht="15.75" hidden="false" customHeight="true" outlineLevel="0" collapsed="false">
      <c r="P58" s="1"/>
      <c r="Q58" s="1"/>
      <c r="R58" s="1"/>
      <c r="S58" s="1"/>
      <c r="T58" s="1"/>
      <c r="U58" s="1"/>
      <c r="V58" s="1"/>
      <c r="W58" s="1"/>
      <c r="X58" s="1"/>
      <c r="Y58" s="1"/>
      <c r="Z58" s="1"/>
    </row>
    <row r="59" customFormat="false" ht="15.75" hidden="false" customHeight="true" outlineLevel="0" collapsed="false">
      <c r="P59" s="1"/>
      <c r="Q59" s="1"/>
      <c r="R59" s="1"/>
      <c r="S59" s="1"/>
      <c r="T59" s="1"/>
      <c r="U59" s="1"/>
      <c r="V59" s="1"/>
      <c r="W59" s="1"/>
      <c r="X59" s="1"/>
      <c r="Y59" s="1"/>
      <c r="Z59" s="1"/>
    </row>
    <row r="60" customFormat="false" ht="15.75" hidden="false" customHeight="true" outlineLevel="0" collapsed="false">
      <c r="P60" s="1"/>
      <c r="Q60" s="1"/>
      <c r="R60" s="1"/>
      <c r="S60" s="1"/>
      <c r="T60" s="1"/>
      <c r="U60" s="1"/>
      <c r="V60" s="1"/>
      <c r="W60" s="1"/>
      <c r="X60" s="1"/>
      <c r="Y60" s="1"/>
      <c r="Z60" s="1"/>
    </row>
    <row r="61" customFormat="false" ht="15.75" hidden="false" customHeight="true" outlineLevel="0" collapsed="false">
      <c r="P61" s="1"/>
      <c r="Q61" s="1"/>
      <c r="R61" s="1"/>
      <c r="S61" s="1"/>
      <c r="T61" s="1"/>
      <c r="U61" s="1"/>
      <c r="V61" s="1"/>
      <c r="W61" s="1"/>
      <c r="X61" s="1"/>
      <c r="Y61" s="1"/>
      <c r="Z61" s="1"/>
    </row>
    <row r="62" customFormat="false" ht="15.75" hidden="false" customHeight="true" outlineLevel="0" collapsed="false">
      <c r="P62" s="1"/>
      <c r="Q62" s="1"/>
      <c r="R62" s="1"/>
      <c r="S62" s="1"/>
      <c r="T62" s="1"/>
      <c r="U62" s="1"/>
      <c r="V62" s="1"/>
      <c r="W62" s="1"/>
      <c r="X62" s="1"/>
      <c r="Y62" s="1"/>
      <c r="Z62" s="1"/>
    </row>
    <row r="63" customFormat="false" ht="15.75" hidden="false" customHeight="true" outlineLevel="0" collapsed="false">
      <c r="P63" s="1"/>
      <c r="Q63" s="1"/>
      <c r="R63" s="1"/>
      <c r="S63" s="1"/>
      <c r="T63" s="1"/>
      <c r="U63" s="1"/>
      <c r="V63" s="1"/>
      <c r="W63" s="1"/>
      <c r="X63" s="1"/>
      <c r="Y63" s="1"/>
      <c r="Z63" s="1"/>
    </row>
    <row r="64" customFormat="false" ht="15.75" hidden="false" customHeight="true" outlineLevel="0" collapsed="false">
      <c r="P64" s="1"/>
      <c r="Q64" s="1"/>
      <c r="R64" s="1"/>
      <c r="S64" s="1"/>
      <c r="T64" s="1"/>
      <c r="U64" s="1"/>
      <c r="V64" s="1"/>
      <c r="W64" s="1"/>
      <c r="X64" s="1"/>
      <c r="Y64" s="1"/>
      <c r="Z64" s="1"/>
    </row>
    <row r="65" customFormat="false" ht="15.75" hidden="false" customHeight="true" outlineLevel="0" collapsed="false">
      <c r="P65" s="1"/>
      <c r="Q65" s="1"/>
      <c r="R65" s="1"/>
      <c r="S65" s="1"/>
      <c r="T65" s="1"/>
      <c r="U65" s="1"/>
      <c r="V65" s="1"/>
      <c r="W65" s="1"/>
      <c r="X65" s="1"/>
      <c r="Y65" s="1"/>
      <c r="Z65" s="1"/>
    </row>
    <row r="66" customFormat="false" ht="15.75" hidden="false" customHeight="true" outlineLevel="0" collapsed="false">
      <c r="P66" s="1"/>
      <c r="Q66" s="1"/>
      <c r="R66" s="1"/>
      <c r="S66" s="1"/>
      <c r="T66" s="1"/>
      <c r="U66" s="1"/>
      <c r="V66" s="1"/>
      <c r="W66" s="1"/>
      <c r="X66" s="1"/>
      <c r="Y66" s="1"/>
      <c r="Z66" s="1"/>
    </row>
    <row r="67" customFormat="false" ht="15.75" hidden="false" customHeight="true" outlineLevel="0" collapsed="false">
      <c r="P67" s="1"/>
      <c r="Q67" s="1"/>
      <c r="R67" s="1"/>
      <c r="S67" s="1"/>
      <c r="T67" s="1"/>
      <c r="U67" s="1"/>
      <c r="V67" s="1"/>
      <c r="W67" s="1"/>
      <c r="X67" s="1"/>
      <c r="Y67" s="1"/>
      <c r="Z67" s="1"/>
    </row>
    <row r="68" customFormat="false" ht="15.75" hidden="false" customHeight="true" outlineLevel="0" collapsed="false">
      <c r="P68" s="1"/>
      <c r="Q68" s="1"/>
      <c r="R68" s="1"/>
      <c r="S68" s="1"/>
      <c r="T68" s="1"/>
      <c r="U68" s="1"/>
      <c r="V68" s="1"/>
      <c r="W68" s="1"/>
      <c r="X68" s="1"/>
      <c r="Y68" s="1"/>
      <c r="Z68" s="1"/>
    </row>
    <row r="69" customFormat="false" ht="15.75" hidden="false" customHeight="true" outlineLevel="0" collapsed="false">
      <c r="P69" s="1"/>
      <c r="Q69" s="1"/>
      <c r="R69" s="1"/>
      <c r="S69" s="1"/>
      <c r="T69" s="1"/>
      <c r="U69" s="1"/>
      <c r="V69" s="1"/>
      <c r="W69" s="1"/>
      <c r="X69" s="1"/>
      <c r="Y69" s="1"/>
      <c r="Z69" s="1"/>
    </row>
    <row r="70" customFormat="false" ht="15.75" hidden="false" customHeight="true" outlineLevel="0" collapsed="false">
      <c r="P70" s="1"/>
      <c r="Q70" s="1"/>
      <c r="R70" s="1"/>
      <c r="S70" s="1"/>
      <c r="T70" s="1"/>
      <c r="U70" s="1"/>
      <c r="V70" s="1"/>
      <c r="W70" s="1"/>
      <c r="X70" s="1"/>
      <c r="Y70" s="1"/>
      <c r="Z70" s="1"/>
    </row>
    <row r="71" customFormat="false" ht="15.75" hidden="false" customHeight="true" outlineLevel="0" collapsed="false">
      <c r="P71" s="1"/>
      <c r="Q71" s="1"/>
      <c r="R71" s="1"/>
      <c r="S71" s="1"/>
      <c r="T71" s="1"/>
      <c r="U71" s="1"/>
      <c r="V71" s="1"/>
      <c r="W71" s="1"/>
      <c r="X71" s="1"/>
      <c r="Y71" s="1"/>
      <c r="Z71" s="1"/>
    </row>
    <row r="72" customFormat="false" ht="15.75" hidden="false" customHeight="true" outlineLevel="0" collapsed="false">
      <c r="P72" s="1"/>
      <c r="Q72" s="1"/>
      <c r="R72" s="1"/>
      <c r="S72" s="1"/>
      <c r="T72" s="1"/>
      <c r="U72" s="1"/>
      <c r="V72" s="1"/>
      <c r="W72" s="1"/>
      <c r="X72" s="1"/>
      <c r="Y72" s="1"/>
      <c r="Z72" s="1"/>
    </row>
    <row r="73" customFormat="false" ht="15.75" hidden="false" customHeight="true" outlineLevel="0" collapsed="false">
      <c r="P73" s="1"/>
      <c r="Q73" s="1"/>
      <c r="R73" s="1"/>
      <c r="S73" s="1"/>
      <c r="T73" s="1"/>
      <c r="U73" s="1"/>
      <c r="V73" s="1"/>
      <c r="W73" s="1"/>
      <c r="X73" s="1"/>
      <c r="Y73" s="1"/>
      <c r="Z73" s="1"/>
    </row>
    <row r="74" customFormat="false" ht="15.75" hidden="false" customHeight="true" outlineLevel="0" collapsed="false">
      <c r="P74" s="1"/>
      <c r="Q74" s="1"/>
      <c r="R74" s="1"/>
      <c r="S74" s="1"/>
      <c r="T74" s="1"/>
      <c r="U74" s="1"/>
      <c r="V74" s="1"/>
      <c r="W74" s="1"/>
      <c r="X74" s="1"/>
      <c r="Y74" s="1"/>
      <c r="Z74" s="1"/>
    </row>
    <row r="75" customFormat="false" ht="15.75" hidden="false" customHeight="true" outlineLevel="0" collapsed="false">
      <c r="P75" s="1"/>
      <c r="Q75" s="1"/>
      <c r="R75" s="1"/>
      <c r="S75" s="1"/>
      <c r="T75" s="1"/>
      <c r="U75" s="1"/>
      <c r="V75" s="1"/>
      <c r="W75" s="1"/>
      <c r="X75" s="1"/>
      <c r="Y75" s="1"/>
      <c r="Z75" s="1"/>
    </row>
    <row r="76" customFormat="false" ht="15.75" hidden="false" customHeight="true" outlineLevel="0" collapsed="false">
      <c r="P76" s="1"/>
      <c r="Q76" s="1"/>
      <c r="R76" s="1"/>
      <c r="S76" s="1"/>
      <c r="T76" s="1"/>
      <c r="U76" s="1"/>
      <c r="V76" s="1"/>
      <c r="W76" s="1"/>
      <c r="X76" s="1"/>
      <c r="Y76" s="1"/>
      <c r="Z76" s="1"/>
    </row>
    <row r="77" customFormat="false" ht="15.75" hidden="false" customHeight="true" outlineLevel="0" collapsed="false">
      <c r="P77" s="1"/>
      <c r="Q77" s="1"/>
      <c r="R77" s="1"/>
      <c r="S77" s="1"/>
      <c r="T77" s="1"/>
      <c r="U77" s="1"/>
      <c r="V77" s="1"/>
      <c r="W77" s="1"/>
      <c r="X77" s="1"/>
      <c r="Y77" s="1"/>
      <c r="Z77" s="1"/>
    </row>
    <row r="78" customFormat="false" ht="15.75" hidden="false" customHeight="true" outlineLevel="0" collapsed="false">
      <c r="P78" s="1"/>
      <c r="Q78" s="1"/>
      <c r="R78" s="1"/>
      <c r="S78" s="1"/>
      <c r="T78" s="1"/>
      <c r="U78" s="1"/>
      <c r="V78" s="1"/>
      <c r="W78" s="1"/>
      <c r="X78" s="1"/>
      <c r="Y78" s="1"/>
      <c r="Z78" s="1"/>
    </row>
    <row r="79" customFormat="false" ht="15.75" hidden="false" customHeight="true" outlineLevel="0" collapsed="false">
      <c r="P79" s="1"/>
      <c r="Q79" s="1"/>
      <c r="R79" s="1"/>
      <c r="S79" s="1"/>
      <c r="T79" s="1"/>
      <c r="U79" s="1"/>
      <c r="V79" s="1"/>
      <c r="W79" s="1"/>
      <c r="X79" s="1"/>
      <c r="Y79" s="1"/>
      <c r="Z79" s="1"/>
    </row>
    <row r="80" customFormat="false" ht="15.75" hidden="false" customHeight="true" outlineLevel="0" collapsed="false">
      <c r="P80" s="1"/>
      <c r="Q80" s="1"/>
      <c r="R80" s="1"/>
      <c r="S80" s="1"/>
      <c r="T80" s="1"/>
      <c r="U80" s="1"/>
      <c r="V80" s="1"/>
      <c r="W80" s="1"/>
      <c r="X80" s="1"/>
      <c r="Y80" s="1"/>
      <c r="Z80" s="1"/>
    </row>
    <row r="81" customFormat="false" ht="15.75" hidden="false" customHeight="true" outlineLevel="0" collapsed="false">
      <c r="P81" s="1"/>
      <c r="Q81" s="1"/>
      <c r="R81" s="1"/>
      <c r="S81" s="1"/>
      <c r="T81" s="1"/>
      <c r="U81" s="1"/>
      <c r="V81" s="1"/>
      <c r="W81" s="1"/>
      <c r="X81" s="1"/>
      <c r="Y81" s="1"/>
      <c r="Z81" s="1"/>
    </row>
    <row r="82" customFormat="false" ht="15.75" hidden="false" customHeight="true" outlineLevel="0" collapsed="false">
      <c r="P82" s="1"/>
      <c r="Q82" s="1"/>
      <c r="R82" s="1"/>
      <c r="S82" s="1"/>
      <c r="T82" s="1"/>
      <c r="U82" s="1"/>
      <c r="V82" s="1"/>
      <c r="W82" s="1"/>
      <c r="X82" s="1"/>
      <c r="Y82" s="1"/>
      <c r="Z82" s="1"/>
    </row>
    <row r="83" customFormat="false" ht="15.75" hidden="false" customHeight="true" outlineLevel="0" collapsed="false">
      <c r="P83" s="1"/>
      <c r="Q83" s="1"/>
      <c r="R83" s="1"/>
      <c r="S83" s="1"/>
      <c r="T83" s="1"/>
      <c r="U83" s="1"/>
      <c r="V83" s="1"/>
      <c r="W83" s="1"/>
      <c r="X83" s="1"/>
      <c r="Y83" s="1"/>
      <c r="Z83" s="1"/>
    </row>
    <row r="84" customFormat="false" ht="15.75" hidden="false" customHeight="true" outlineLevel="0" collapsed="false">
      <c r="P84" s="1"/>
      <c r="Q84" s="1"/>
      <c r="R84" s="1"/>
      <c r="S84" s="1"/>
      <c r="T84" s="1"/>
      <c r="U84" s="1"/>
      <c r="V84" s="1"/>
      <c r="W84" s="1"/>
      <c r="X84" s="1"/>
      <c r="Y84" s="1"/>
      <c r="Z84" s="1"/>
    </row>
    <row r="85" customFormat="false" ht="15.75" hidden="false" customHeight="true" outlineLevel="0" collapsed="false">
      <c r="P85" s="1"/>
      <c r="Q85" s="1"/>
      <c r="R85" s="1"/>
      <c r="S85" s="1"/>
      <c r="T85" s="1"/>
      <c r="U85" s="1"/>
      <c r="V85" s="1"/>
      <c r="W85" s="1"/>
      <c r="X85" s="1"/>
      <c r="Y85" s="1"/>
      <c r="Z85" s="1"/>
    </row>
    <row r="86" customFormat="false" ht="15.75" hidden="false" customHeight="true" outlineLevel="0" collapsed="false">
      <c r="P86" s="1"/>
      <c r="Q86" s="1"/>
      <c r="R86" s="1"/>
      <c r="S86" s="1"/>
      <c r="T86" s="1"/>
      <c r="U86" s="1"/>
      <c r="V86" s="1"/>
      <c r="W86" s="1"/>
      <c r="X86" s="1"/>
      <c r="Y86" s="1"/>
      <c r="Z86" s="1"/>
    </row>
    <row r="87" customFormat="false" ht="15.75" hidden="false" customHeight="true" outlineLevel="0" collapsed="false">
      <c r="P87" s="1"/>
      <c r="Q87" s="1"/>
      <c r="R87" s="1"/>
      <c r="S87" s="1"/>
      <c r="T87" s="1"/>
      <c r="U87" s="1"/>
      <c r="V87" s="1"/>
      <c r="W87" s="1"/>
      <c r="X87" s="1"/>
      <c r="Y87" s="1"/>
      <c r="Z87" s="1"/>
    </row>
    <row r="88" customFormat="false" ht="15.75" hidden="false" customHeight="true" outlineLevel="0" collapsed="false">
      <c r="P88" s="1"/>
      <c r="Q88" s="1"/>
      <c r="R88" s="1"/>
      <c r="S88" s="1"/>
      <c r="T88" s="1"/>
      <c r="U88" s="1"/>
      <c r="V88" s="1"/>
      <c r="W88" s="1"/>
      <c r="X88" s="1"/>
      <c r="Y88" s="1"/>
      <c r="Z88" s="1"/>
    </row>
    <row r="89" customFormat="false" ht="15.75" hidden="false" customHeight="true" outlineLevel="0" collapsed="false">
      <c r="P89" s="1"/>
      <c r="Q89" s="1"/>
      <c r="R89" s="1"/>
      <c r="S89" s="1"/>
      <c r="T89" s="1"/>
      <c r="U89" s="1"/>
      <c r="V89" s="1"/>
      <c r="W89" s="1"/>
      <c r="X89" s="1"/>
      <c r="Y89" s="1"/>
      <c r="Z89" s="1"/>
    </row>
    <row r="90" customFormat="false" ht="15.75" hidden="false" customHeight="true" outlineLevel="0" collapsed="false">
      <c r="P90" s="1"/>
      <c r="Q90" s="1"/>
      <c r="R90" s="1"/>
      <c r="S90" s="1"/>
      <c r="T90" s="1"/>
      <c r="U90" s="1"/>
      <c r="V90" s="1"/>
      <c r="W90" s="1"/>
      <c r="X90" s="1"/>
      <c r="Y90" s="1"/>
      <c r="Z90" s="1"/>
    </row>
    <row r="91" customFormat="false" ht="15.75" hidden="false" customHeight="true" outlineLevel="0" collapsed="false">
      <c r="P91" s="1"/>
      <c r="Q91" s="1"/>
      <c r="R91" s="1"/>
      <c r="S91" s="1"/>
      <c r="T91" s="1"/>
      <c r="U91" s="1"/>
      <c r="V91" s="1"/>
      <c r="W91" s="1"/>
      <c r="X91" s="1"/>
      <c r="Y91" s="1"/>
      <c r="Z91" s="1"/>
    </row>
    <row r="92" customFormat="false" ht="15.75" hidden="false" customHeight="true" outlineLevel="0" collapsed="false">
      <c r="P92" s="1"/>
      <c r="Q92" s="1"/>
      <c r="R92" s="1"/>
      <c r="S92" s="1"/>
      <c r="T92" s="1"/>
      <c r="U92" s="1"/>
      <c r="V92" s="1"/>
      <c r="W92" s="1"/>
      <c r="X92" s="1"/>
      <c r="Y92" s="1"/>
      <c r="Z92" s="1"/>
    </row>
    <row r="93" customFormat="false" ht="15.75" hidden="false" customHeight="true" outlineLevel="0" collapsed="false">
      <c r="P93" s="1"/>
      <c r="Q93" s="1"/>
      <c r="R93" s="1"/>
      <c r="S93" s="1"/>
      <c r="T93" s="1"/>
      <c r="U93" s="1"/>
      <c r="V93" s="1"/>
      <c r="W93" s="1"/>
      <c r="X93" s="1"/>
      <c r="Y93" s="1"/>
      <c r="Z93" s="1"/>
    </row>
    <row r="94" customFormat="false" ht="15.75" hidden="false" customHeight="true" outlineLevel="0" collapsed="false">
      <c r="P94" s="1"/>
      <c r="Q94" s="1"/>
      <c r="R94" s="1"/>
      <c r="S94" s="1"/>
      <c r="T94" s="1"/>
      <c r="U94" s="1"/>
      <c r="V94" s="1"/>
      <c r="W94" s="1"/>
      <c r="X94" s="1"/>
      <c r="Y94" s="1"/>
      <c r="Z94" s="1"/>
    </row>
    <row r="95" customFormat="false" ht="15.75" hidden="false" customHeight="true" outlineLevel="0" collapsed="false">
      <c r="P95" s="1"/>
      <c r="Q95" s="1"/>
      <c r="R95" s="1"/>
      <c r="S95" s="1"/>
      <c r="T95" s="1"/>
      <c r="U95" s="1"/>
      <c r="V95" s="1"/>
      <c r="W95" s="1"/>
      <c r="X95" s="1"/>
      <c r="Y95" s="1"/>
      <c r="Z95" s="1"/>
    </row>
    <row r="96" customFormat="false" ht="15.75" hidden="false" customHeight="true" outlineLevel="0" collapsed="false">
      <c r="P96" s="1"/>
      <c r="Q96" s="1"/>
      <c r="R96" s="1"/>
      <c r="S96" s="1"/>
      <c r="T96" s="1"/>
      <c r="U96" s="1"/>
      <c r="V96" s="1"/>
      <c r="W96" s="1"/>
      <c r="X96" s="1"/>
      <c r="Y96" s="1"/>
      <c r="Z96" s="1"/>
    </row>
    <row r="97" customFormat="false" ht="15.75" hidden="false" customHeight="true" outlineLevel="0" collapsed="false">
      <c r="P97" s="1"/>
      <c r="Q97" s="1"/>
      <c r="R97" s="1"/>
      <c r="S97" s="1"/>
      <c r="T97" s="1"/>
      <c r="U97" s="1"/>
      <c r="V97" s="1"/>
      <c r="W97" s="1"/>
      <c r="X97" s="1"/>
      <c r="Y97" s="1"/>
      <c r="Z97" s="1"/>
    </row>
    <row r="98" customFormat="false" ht="15.75" hidden="false" customHeight="true" outlineLevel="0" collapsed="false">
      <c r="P98" s="1"/>
      <c r="Q98" s="1"/>
      <c r="R98" s="1"/>
      <c r="S98" s="1"/>
      <c r="T98" s="1"/>
      <c r="U98" s="1"/>
      <c r="V98" s="1"/>
      <c r="W98" s="1"/>
      <c r="X98" s="1"/>
      <c r="Y98" s="1"/>
      <c r="Z98" s="1"/>
    </row>
    <row r="99" customFormat="false" ht="15.75" hidden="false" customHeight="true" outlineLevel="0" collapsed="false">
      <c r="P99" s="1"/>
      <c r="Q99" s="1"/>
      <c r="R99" s="1"/>
      <c r="S99" s="1"/>
      <c r="T99" s="1"/>
      <c r="U99" s="1"/>
      <c r="V99" s="1"/>
      <c r="W99" s="1"/>
      <c r="X99" s="1"/>
      <c r="Y99" s="1"/>
      <c r="Z99" s="1"/>
    </row>
    <row r="100" customFormat="false" ht="15.75" hidden="false" customHeight="true" outlineLevel="0" collapsed="false">
      <c r="P100" s="1"/>
      <c r="Q100" s="1"/>
      <c r="R100" s="1"/>
      <c r="S100" s="1"/>
      <c r="T100" s="1"/>
      <c r="U100" s="1"/>
      <c r="V100" s="1"/>
      <c r="W100" s="1"/>
      <c r="X100" s="1"/>
      <c r="Y100" s="1"/>
      <c r="Z100" s="1"/>
    </row>
    <row r="101" customFormat="false" ht="15.75" hidden="false" customHeight="true" outlineLevel="0" collapsed="false">
      <c r="P101" s="1"/>
      <c r="Q101" s="1"/>
      <c r="R101" s="1"/>
      <c r="S101" s="1"/>
      <c r="T101" s="1"/>
      <c r="U101" s="1"/>
      <c r="V101" s="1"/>
      <c r="W101" s="1"/>
      <c r="X101" s="1"/>
      <c r="Y101" s="1"/>
      <c r="Z101" s="1"/>
    </row>
    <row r="102" customFormat="false" ht="15.75" hidden="false" customHeight="true" outlineLevel="0" collapsed="false">
      <c r="P102" s="1"/>
      <c r="Q102" s="1"/>
      <c r="R102" s="1"/>
      <c r="S102" s="1"/>
      <c r="T102" s="1"/>
      <c r="U102" s="1"/>
      <c r="V102" s="1"/>
      <c r="W102" s="1"/>
      <c r="X102" s="1"/>
      <c r="Y102" s="1"/>
      <c r="Z102" s="1"/>
    </row>
    <row r="103" customFormat="false" ht="15.75" hidden="false" customHeight="true" outlineLevel="0" collapsed="false">
      <c r="P103" s="1"/>
      <c r="Q103" s="1"/>
      <c r="R103" s="1"/>
      <c r="S103" s="1"/>
      <c r="T103" s="1"/>
      <c r="U103" s="1"/>
      <c r="V103" s="1"/>
      <c r="W103" s="1"/>
      <c r="X103" s="1"/>
      <c r="Y103" s="1"/>
      <c r="Z103" s="1"/>
    </row>
    <row r="104" customFormat="false" ht="15.75" hidden="false" customHeight="true" outlineLevel="0" collapsed="false">
      <c r="P104" s="1"/>
      <c r="Q104" s="1"/>
      <c r="R104" s="1"/>
      <c r="S104" s="1"/>
      <c r="T104" s="1"/>
      <c r="U104" s="1"/>
      <c r="V104" s="1"/>
      <c r="W104" s="1"/>
      <c r="X104" s="1"/>
      <c r="Y104" s="1"/>
      <c r="Z104" s="1"/>
    </row>
    <row r="105" customFormat="false" ht="15.75" hidden="false" customHeight="true" outlineLevel="0" collapsed="false">
      <c r="P105" s="1"/>
      <c r="Q105" s="1"/>
      <c r="R105" s="1"/>
      <c r="S105" s="1"/>
      <c r="T105" s="1"/>
      <c r="U105" s="1"/>
      <c r="V105" s="1"/>
      <c r="W105" s="1"/>
      <c r="X105" s="1"/>
      <c r="Y105" s="1"/>
      <c r="Z105" s="1"/>
    </row>
    <row r="106" customFormat="false" ht="15.75" hidden="false" customHeight="true" outlineLevel="0" collapsed="false">
      <c r="P106" s="1"/>
      <c r="Q106" s="1"/>
      <c r="R106" s="1"/>
      <c r="S106" s="1"/>
      <c r="T106" s="1"/>
      <c r="U106" s="1"/>
      <c r="V106" s="1"/>
      <c r="W106" s="1"/>
      <c r="X106" s="1"/>
      <c r="Y106" s="1"/>
      <c r="Z106" s="1"/>
    </row>
    <row r="107" customFormat="false" ht="15.75" hidden="false" customHeight="true" outlineLevel="0" collapsed="false">
      <c r="P107" s="1"/>
      <c r="Q107" s="1"/>
      <c r="R107" s="1"/>
      <c r="S107" s="1"/>
      <c r="T107" s="1"/>
      <c r="U107" s="1"/>
      <c r="V107" s="1"/>
      <c r="W107" s="1"/>
      <c r="X107" s="1"/>
      <c r="Y107" s="1"/>
      <c r="Z107" s="1"/>
    </row>
    <row r="108" customFormat="false" ht="15.75" hidden="false" customHeight="true" outlineLevel="0" collapsed="false">
      <c r="P108" s="1"/>
      <c r="Q108" s="1"/>
      <c r="R108" s="1"/>
      <c r="S108" s="1"/>
      <c r="T108" s="1"/>
      <c r="U108" s="1"/>
      <c r="V108" s="1"/>
      <c r="W108" s="1"/>
      <c r="X108" s="1"/>
      <c r="Y108" s="1"/>
      <c r="Z108" s="1"/>
    </row>
    <row r="109" customFormat="false" ht="15.75" hidden="false" customHeight="true" outlineLevel="0" collapsed="false">
      <c r="P109" s="1"/>
      <c r="Q109" s="1"/>
      <c r="R109" s="1"/>
      <c r="S109" s="1"/>
      <c r="T109" s="1"/>
      <c r="U109" s="1"/>
      <c r="V109" s="1"/>
      <c r="W109" s="1"/>
      <c r="X109" s="1"/>
      <c r="Y109" s="1"/>
      <c r="Z109" s="1"/>
    </row>
    <row r="110" customFormat="false" ht="15.75" hidden="false" customHeight="true" outlineLevel="0" collapsed="false">
      <c r="P110" s="1"/>
      <c r="Q110" s="1"/>
      <c r="R110" s="1"/>
      <c r="S110" s="1"/>
      <c r="T110" s="1"/>
      <c r="U110" s="1"/>
      <c r="V110" s="1"/>
      <c r="W110" s="1"/>
      <c r="X110" s="1"/>
      <c r="Y110" s="1"/>
      <c r="Z110" s="1"/>
    </row>
    <row r="111" customFormat="false" ht="15.75" hidden="false" customHeight="true" outlineLevel="0" collapsed="false">
      <c r="P111" s="1"/>
      <c r="Q111" s="1"/>
      <c r="R111" s="1"/>
      <c r="S111" s="1"/>
      <c r="T111" s="1"/>
      <c r="U111" s="1"/>
      <c r="V111" s="1"/>
      <c r="W111" s="1"/>
      <c r="X111" s="1"/>
      <c r="Y111" s="1"/>
      <c r="Z111" s="1"/>
    </row>
    <row r="112" customFormat="false" ht="15.75" hidden="false" customHeight="true" outlineLevel="0" collapsed="false">
      <c r="P112" s="1"/>
      <c r="Q112" s="1"/>
      <c r="R112" s="1"/>
      <c r="S112" s="1"/>
      <c r="T112" s="1"/>
      <c r="U112" s="1"/>
      <c r="V112" s="1"/>
      <c r="W112" s="1"/>
      <c r="X112" s="1"/>
      <c r="Y112" s="1"/>
      <c r="Z112" s="1"/>
    </row>
    <row r="113" customFormat="false" ht="15.75" hidden="false" customHeight="true" outlineLevel="0" collapsed="false">
      <c r="P113" s="1"/>
      <c r="Q113" s="1"/>
      <c r="R113" s="1"/>
      <c r="S113" s="1"/>
      <c r="T113" s="1"/>
      <c r="U113" s="1"/>
      <c r="V113" s="1"/>
      <c r="W113" s="1"/>
      <c r="X113" s="1"/>
      <c r="Y113" s="1"/>
      <c r="Z113" s="1"/>
    </row>
    <row r="114" customFormat="false" ht="15.75" hidden="false" customHeight="true" outlineLevel="0" collapsed="false">
      <c r="P114" s="1"/>
      <c r="Q114" s="1"/>
      <c r="R114" s="1"/>
      <c r="S114" s="1"/>
      <c r="T114" s="1"/>
      <c r="U114" s="1"/>
      <c r="V114" s="1"/>
      <c r="W114" s="1"/>
      <c r="X114" s="1"/>
      <c r="Y114" s="1"/>
      <c r="Z114" s="1"/>
    </row>
    <row r="115" customFormat="false" ht="15.75" hidden="false" customHeight="true" outlineLevel="0" collapsed="false">
      <c r="P115" s="1"/>
      <c r="Q115" s="1"/>
      <c r="R115" s="1"/>
      <c r="S115" s="1"/>
      <c r="T115" s="1"/>
      <c r="U115" s="1"/>
      <c r="V115" s="1"/>
      <c r="W115" s="1"/>
      <c r="X115" s="1"/>
      <c r="Y115" s="1"/>
      <c r="Z115" s="1"/>
    </row>
    <row r="116" customFormat="false" ht="15.75" hidden="false" customHeight="true" outlineLevel="0" collapsed="false">
      <c r="P116" s="1"/>
      <c r="Q116" s="1"/>
      <c r="R116" s="1"/>
      <c r="S116" s="1"/>
      <c r="T116" s="1"/>
      <c r="U116" s="1"/>
      <c r="V116" s="1"/>
      <c r="W116" s="1"/>
      <c r="X116" s="1"/>
      <c r="Y116" s="1"/>
      <c r="Z116" s="1"/>
    </row>
    <row r="117" customFormat="false" ht="15.75" hidden="false" customHeight="true" outlineLevel="0" collapsed="false">
      <c r="P117" s="1"/>
      <c r="Q117" s="1"/>
      <c r="R117" s="1"/>
      <c r="S117" s="1"/>
      <c r="T117" s="1"/>
      <c r="U117" s="1"/>
      <c r="V117" s="1"/>
      <c r="W117" s="1"/>
      <c r="X117" s="1"/>
      <c r="Y117" s="1"/>
      <c r="Z117" s="1"/>
    </row>
    <row r="118" customFormat="false" ht="15.75" hidden="false" customHeight="true" outlineLevel="0" collapsed="false">
      <c r="P118" s="1"/>
      <c r="Q118" s="1"/>
      <c r="R118" s="1"/>
      <c r="S118" s="1"/>
      <c r="T118" s="1"/>
      <c r="U118" s="1"/>
      <c r="V118" s="1"/>
      <c r="W118" s="1"/>
      <c r="X118" s="1"/>
      <c r="Y118" s="1"/>
      <c r="Z118" s="1"/>
    </row>
    <row r="119" customFormat="false" ht="15.75" hidden="false" customHeight="true" outlineLevel="0" collapsed="false">
      <c r="P119" s="1"/>
      <c r="Q119" s="1"/>
      <c r="R119" s="1"/>
      <c r="S119" s="1"/>
      <c r="T119" s="1"/>
      <c r="U119" s="1"/>
      <c r="V119" s="1"/>
      <c r="W119" s="1"/>
      <c r="X119" s="1"/>
      <c r="Y119" s="1"/>
      <c r="Z119" s="1"/>
    </row>
    <row r="120" customFormat="false" ht="15.75" hidden="false" customHeight="true" outlineLevel="0" collapsed="false">
      <c r="P120" s="1"/>
      <c r="Q120" s="1"/>
      <c r="R120" s="1"/>
      <c r="S120" s="1"/>
      <c r="T120" s="1"/>
      <c r="U120" s="1"/>
      <c r="V120" s="1"/>
      <c r="W120" s="1"/>
      <c r="X120" s="1"/>
      <c r="Y120" s="1"/>
      <c r="Z120" s="1"/>
    </row>
    <row r="121" customFormat="false" ht="15.75" hidden="false" customHeight="true" outlineLevel="0" collapsed="false">
      <c r="P121" s="1"/>
      <c r="Q121" s="1"/>
      <c r="R121" s="1"/>
      <c r="S121" s="1"/>
      <c r="T121" s="1"/>
      <c r="U121" s="1"/>
      <c r="V121" s="1"/>
      <c r="W121" s="1"/>
      <c r="X121" s="1"/>
      <c r="Y121" s="1"/>
      <c r="Z121" s="1"/>
    </row>
    <row r="122" customFormat="false" ht="15.75" hidden="false" customHeight="true" outlineLevel="0" collapsed="false">
      <c r="P122" s="1"/>
      <c r="Q122" s="1"/>
      <c r="R122" s="1"/>
      <c r="S122" s="1"/>
      <c r="T122" s="1"/>
      <c r="U122" s="1"/>
      <c r="V122" s="1"/>
      <c r="W122" s="1"/>
      <c r="X122" s="1"/>
      <c r="Y122" s="1"/>
      <c r="Z122" s="1"/>
    </row>
    <row r="123" customFormat="false" ht="15.75" hidden="false" customHeight="true" outlineLevel="0" collapsed="false">
      <c r="P123" s="1"/>
      <c r="Q123" s="1"/>
      <c r="R123" s="1"/>
      <c r="S123" s="1"/>
      <c r="T123" s="1"/>
      <c r="U123" s="1"/>
      <c r="V123" s="1"/>
      <c r="W123" s="1"/>
      <c r="X123" s="1"/>
      <c r="Y123" s="1"/>
      <c r="Z123" s="1"/>
    </row>
    <row r="124" customFormat="false" ht="15.75" hidden="false" customHeight="true" outlineLevel="0" collapsed="false">
      <c r="P124" s="1"/>
      <c r="Q124" s="1"/>
      <c r="R124" s="1"/>
      <c r="S124" s="1"/>
      <c r="T124" s="1"/>
      <c r="U124" s="1"/>
      <c r="V124" s="1"/>
      <c r="W124" s="1"/>
      <c r="X124" s="1"/>
      <c r="Y124" s="1"/>
      <c r="Z124" s="1"/>
    </row>
    <row r="125" customFormat="false" ht="15.75" hidden="false" customHeight="true" outlineLevel="0" collapsed="false">
      <c r="P125" s="1"/>
      <c r="Q125" s="1"/>
      <c r="R125" s="1"/>
      <c r="S125" s="1"/>
      <c r="T125" s="1"/>
      <c r="U125" s="1"/>
      <c r="V125" s="1"/>
      <c r="W125" s="1"/>
      <c r="X125" s="1"/>
      <c r="Y125" s="1"/>
      <c r="Z125" s="1"/>
    </row>
    <row r="126" customFormat="false" ht="15.75" hidden="false" customHeight="true" outlineLevel="0" collapsed="false">
      <c r="P126" s="1"/>
      <c r="Q126" s="1"/>
      <c r="R126" s="1"/>
      <c r="S126" s="1"/>
      <c r="T126" s="1"/>
      <c r="U126" s="1"/>
      <c r="V126" s="1"/>
      <c r="W126" s="1"/>
      <c r="X126" s="1"/>
      <c r="Y126" s="1"/>
      <c r="Z126" s="1"/>
    </row>
    <row r="127" customFormat="false" ht="15.75" hidden="false" customHeight="true" outlineLevel="0" collapsed="false">
      <c r="P127" s="1"/>
      <c r="Q127" s="1"/>
      <c r="R127" s="1"/>
      <c r="S127" s="1"/>
      <c r="T127" s="1"/>
      <c r="U127" s="1"/>
      <c r="V127" s="1"/>
      <c r="W127" s="1"/>
      <c r="X127" s="1"/>
      <c r="Y127" s="1"/>
      <c r="Z127" s="1"/>
    </row>
    <row r="128" customFormat="false" ht="15.75" hidden="false" customHeight="true" outlineLevel="0" collapsed="false">
      <c r="P128" s="1"/>
      <c r="Q128" s="1"/>
      <c r="R128" s="1"/>
      <c r="S128" s="1"/>
      <c r="T128" s="1"/>
      <c r="U128" s="1"/>
      <c r="V128" s="1"/>
      <c r="W128" s="1"/>
      <c r="X128" s="1"/>
      <c r="Y128" s="1"/>
      <c r="Z128" s="1"/>
    </row>
    <row r="129" customFormat="false" ht="15.75" hidden="false" customHeight="true" outlineLevel="0" collapsed="false">
      <c r="P129" s="1"/>
      <c r="Q129" s="1"/>
      <c r="R129" s="1"/>
      <c r="S129" s="1"/>
      <c r="T129" s="1"/>
      <c r="U129" s="1"/>
      <c r="V129" s="1"/>
      <c r="W129" s="1"/>
      <c r="X129" s="1"/>
      <c r="Y129" s="1"/>
      <c r="Z129" s="1"/>
    </row>
    <row r="130" customFormat="false" ht="15.75" hidden="false" customHeight="true" outlineLevel="0" collapsed="false">
      <c r="P130" s="1"/>
      <c r="Q130" s="1"/>
      <c r="R130" s="1"/>
      <c r="S130" s="1"/>
      <c r="T130" s="1"/>
      <c r="U130" s="1"/>
      <c r="V130" s="1"/>
      <c r="W130" s="1"/>
      <c r="X130" s="1"/>
      <c r="Y130" s="1"/>
      <c r="Z130" s="1"/>
    </row>
    <row r="131" customFormat="false" ht="15.75" hidden="false" customHeight="true" outlineLevel="0" collapsed="false">
      <c r="P131" s="1"/>
      <c r="Q131" s="1"/>
      <c r="R131" s="1"/>
      <c r="S131" s="1"/>
      <c r="T131" s="1"/>
      <c r="U131" s="1"/>
      <c r="V131" s="1"/>
      <c r="W131" s="1"/>
      <c r="X131" s="1"/>
      <c r="Y131" s="1"/>
      <c r="Z131" s="1"/>
    </row>
    <row r="132" customFormat="false" ht="15.75" hidden="false" customHeight="true" outlineLevel="0" collapsed="false">
      <c r="P132" s="1"/>
      <c r="Q132" s="1"/>
      <c r="R132" s="1"/>
      <c r="S132" s="1"/>
      <c r="T132" s="1"/>
      <c r="U132" s="1"/>
      <c r="V132" s="1"/>
      <c r="W132" s="1"/>
      <c r="X132" s="1"/>
      <c r="Y132" s="1"/>
      <c r="Z132" s="1"/>
    </row>
    <row r="133" customFormat="false" ht="15.75" hidden="false" customHeight="true" outlineLevel="0" collapsed="false">
      <c r="P133" s="1"/>
      <c r="Q133" s="1"/>
      <c r="R133" s="1"/>
      <c r="S133" s="1"/>
      <c r="T133" s="1"/>
      <c r="U133" s="1"/>
      <c r="V133" s="1"/>
      <c r="W133" s="1"/>
      <c r="X133" s="1"/>
      <c r="Y133" s="1"/>
      <c r="Z133" s="1"/>
    </row>
    <row r="134" customFormat="false" ht="15.75" hidden="false" customHeight="true" outlineLevel="0" collapsed="false">
      <c r="P134" s="1"/>
      <c r="Q134" s="1"/>
      <c r="R134" s="1"/>
      <c r="S134" s="1"/>
      <c r="T134" s="1"/>
      <c r="U134" s="1"/>
      <c r="V134" s="1"/>
      <c r="W134" s="1"/>
      <c r="X134" s="1"/>
      <c r="Y134" s="1"/>
      <c r="Z134" s="1"/>
    </row>
    <row r="135" customFormat="false" ht="15.75" hidden="false" customHeight="true" outlineLevel="0" collapsed="false">
      <c r="P135" s="1"/>
      <c r="Q135" s="1"/>
      <c r="R135" s="1"/>
      <c r="S135" s="1"/>
      <c r="T135" s="1"/>
      <c r="U135" s="1"/>
      <c r="V135" s="1"/>
      <c r="W135" s="1"/>
      <c r="X135" s="1"/>
      <c r="Y135" s="1"/>
      <c r="Z135" s="1"/>
    </row>
    <row r="136" customFormat="false" ht="15.75" hidden="false" customHeight="true" outlineLevel="0" collapsed="false">
      <c r="P136" s="1"/>
      <c r="Q136" s="1"/>
      <c r="R136" s="1"/>
      <c r="S136" s="1"/>
      <c r="T136" s="1"/>
      <c r="U136" s="1"/>
      <c r="V136" s="1"/>
      <c r="W136" s="1"/>
      <c r="X136" s="1"/>
      <c r="Y136" s="1"/>
      <c r="Z136" s="1"/>
    </row>
    <row r="137" customFormat="false" ht="15.75" hidden="false" customHeight="true" outlineLevel="0" collapsed="false">
      <c r="P137" s="1"/>
      <c r="Q137" s="1"/>
      <c r="R137" s="1"/>
      <c r="S137" s="1"/>
      <c r="T137" s="1"/>
      <c r="U137" s="1"/>
      <c r="V137" s="1"/>
      <c r="W137" s="1"/>
      <c r="X137" s="1"/>
      <c r="Y137" s="1"/>
      <c r="Z137" s="1"/>
    </row>
    <row r="138" customFormat="false" ht="15.75" hidden="false" customHeight="true" outlineLevel="0" collapsed="false">
      <c r="P138" s="1"/>
      <c r="Q138" s="1"/>
      <c r="R138" s="1"/>
      <c r="S138" s="1"/>
      <c r="T138" s="1"/>
      <c r="U138" s="1"/>
      <c r="V138" s="1"/>
      <c r="W138" s="1"/>
      <c r="X138" s="1"/>
      <c r="Y138" s="1"/>
      <c r="Z138" s="1"/>
    </row>
    <row r="139" customFormat="false" ht="15.75" hidden="false" customHeight="true" outlineLevel="0" collapsed="false">
      <c r="P139" s="1"/>
      <c r="Q139" s="1"/>
      <c r="R139" s="1"/>
      <c r="S139" s="1"/>
      <c r="T139" s="1"/>
      <c r="U139" s="1"/>
      <c r="V139" s="1"/>
      <c r="W139" s="1"/>
      <c r="X139" s="1"/>
      <c r="Y139" s="1"/>
      <c r="Z139" s="1"/>
    </row>
    <row r="140" customFormat="false" ht="15.75" hidden="false" customHeight="true" outlineLevel="0" collapsed="false">
      <c r="P140" s="1"/>
      <c r="Q140" s="1"/>
      <c r="R140" s="1"/>
      <c r="S140" s="1"/>
      <c r="T140" s="1"/>
      <c r="U140" s="1"/>
      <c r="V140" s="1"/>
      <c r="W140" s="1"/>
      <c r="X140" s="1"/>
      <c r="Y140" s="1"/>
      <c r="Z140" s="1"/>
    </row>
    <row r="141" customFormat="false" ht="15.75" hidden="false" customHeight="true" outlineLevel="0" collapsed="false">
      <c r="P141" s="1"/>
      <c r="Q141" s="1"/>
      <c r="R141" s="1"/>
      <c r="S141" s="1"/>
      <c r="T141" s="1"/>
      <c r="U141" s="1"/>
      <c r="V141" s="1"/>
      <c r="W141" s="1"/>
      <c r="X141" s="1"/>
      <c r="Y141" s="1"/>
      <c r="Z141" s="1"/>
    </row>
    <row r="142" customFormat="false" ht="15.75" hidden="false" customHeight="true" outlineLevel="0" collapsed="false">
      <c r="P142" s="1"/>
      <c r="Q142" s="1"/>
      <c r="R142" s="1"/>
      <c r="S142" s="1"/>
      <c r="T142" s="1"/>
      <c r="U142" s="1"/>
      <c r="V142" s="1"/>
      <c r="W142" s="1"/>
      <c r="X142" s="1"/>
      <c r="Y142" s="1"/>
      <c r="Z142" s="1"/>
    </row>
    <row r="143" customFormat="false" ht="15.75" hidden="false" customHeight="true" outlineLevel="0" collapsed="false">
      <c r="P143" s="1"/>
      <c r="Q143" s="1"/>
      <c r="R143" s="1"/>
      <c r="S143" s="1"/>
      <c r="T143" s="1"/>
      <c r="U143" s="1"/>
      <c r="V143" s="1"/>
      <c r="W143" s="1"/>
      <c r="X143" s="1"/>
      <c r="Y143" s="1"/>
      <c r="Z143" s="1"/>
    </row>
    <row r="144" customFormat="false" ht="15.75" hidden="false" customHeight="true" outlineLevel="0" collapsed="false">
      <c r="P144" s="1"/>
      <c r="Q144" s="1"/>
      <c r="R144" s="1"/>
      <c r="S144" s="1"/>
      <c r="T144" s="1"/>
      <c r="U144" s="1"/>
      <c r="V144" s="1"/>
      <c r="W144" s="1"/>
      <c r="X144" s="1"/>
      <c r="Y144" s="1"/>
      <c r="Z144" s="1"/>
    </row>
    <row r="145" customFormat="false" ht="15.75" hidden="false" customHeight="true" outlineLevel="0" collapsed="false">
      <c r="P145" s="1"/>
      <c r="Q145" s="1"/>
      <c r="R145" s="1"/>
      <c r="S145" s="1"/>
      <c r="T145" s="1"/>
      <c r="U145" s="1"/>
      <c r="V145" s="1"/>
      <c r="W145" s="1"/>
      <c r="X145" s="1"/>
      <c r="Y145" s="1"/>
      <c r="Z145" s="1"/>
    </row>
    <row r="146" customFormat="false" ht="15.75" hidden="false" customHeight="true" outlineLevel="0" collapsed="false">
      <c r="P146" s="1"/>
      <c r="Q146" s="1"/>
      <c r="R146" s="1"/>
      <c r="S146" s="1"/>
      <c r="T146" s="1"/>
      <c r="U146" s="1"/>
      <c r="V146" s="1"/>
      <c r="W146" s="1"/>
      <c r="X146" s="1"/>
      <c r="Y146" s="1"/>
      <c r="Z146" s="1"/>
    </row>
    <row r="147" customFormat="false" ht="15.75" hidden="false" customHeight="true" outlineLevel="0" collapsed="false">
      <c r="P147" s="1"/>
      <c r="Q147" s="1"/>
      <c r="R147" s="1"/>
      <c r="S147" s="1"/>
      <c r="T147" s="1"/>
      <c r="U147" s="1"/>
      <c r="V147" s="1"/>
      <c r="W147" s="1"/>
      <c r="X147" s="1"/>
      <c r="Y147" s="1"/>
      <c r="Z147" s="1"/>
    </row>
    <row r="148" customFormat="false" ht="15.75" hidden="false" customHeight="true" outlineLevel="0" collapsed="false">
      <c r="P148" s="1"/>
      <c r="Q148" s="1"/>
      <c r="R148" s="1"/>
      <c r="S148" s="1"/>
      <c r="T148" s="1"/>
      <c r="U148" s="1"/>
      <c r="V148" s="1"/>
      <c r="W148" s="1"/>
      <c r="X148" s="1"/>
      <c r="Y148" s="1"/>
      <c r="Z148" s="1"/>
    </row>
    <row r="149" customFormat="false" ht="15.75" hidden="false" customHeight="true" outlineLevel="0" collapsed="false">
      <c r="P149" s="1"/>
      <c r="Q149" s="1"/>
      <c r="R149" s="1"/>
      <c r="S149" s="1"/>
      <c r="T149" s="1"/>
      <c r="U149" s="1"/>
      <c r="V149" s="1"/>
      <c r="W149" s="1"/>
      <c r="X149" s="1"/>
      <c r="Y149" s="1"/>
      <c r="Z149" s="1"/>
    </row>
    <row r="150" customFormat="false" ht="15.75" hidden="false" customHeight="true" outlineLevel="0" collapsed="false">
      <c r="P150" s="1"/>
      <c r="Q150" s="1"/>
      <c r="R150" s="1"/>
      <c r="S150" s="1"/>
      <c r="T150" s="1"/>
      <c r="U150" s="1"/>
      <c r="V150" s="1"/>
      <c r="W150" s="1"/>
      <c r="X150" s="1"/>
      <c r="Y150" s="1"/>
      <c r="Z150" s="1"/>
    </row>
    <row r="151" customFormat="false" ht="15.75" hidden="false" customHeight="true" outlineLevel="0" collapsed="false">
      <c r="P151" s="1"/>
      <c r="Q151" s="1"/>
      <c r="R151" s="1"/>
      <c r="S151" s="1"/>
      <c r="T151" s="1"/>
      <c r="U151" s="1"/>
      <c r="V151" s="1"/>
      <c r="W151" s="1"/>
      <c r="X151" s="1"/>
      <c r="Y151" s="1"/>
      <c r="Z151" s="1"/>
    </row>
    <row r="152" customFormat="false" ht="15.75" hidden="false" customHeight="true" outlineLevel="0" collapsed="false">
      <c r="P152" s="1"/>
      <c r="Q152" s="1"/>
      <c r="R152" s="1"/>
      <c r="S152" s="1"/>
      <c r="T152" s="1"/>
      <c r="U152" s="1"/>
      <c r="V152" s="1"/>
      <c r="W152" s="1"/>
      <c r="X152" s="1"/>
      <c r="Y152" s="1"/>
      <c r="Z152" s="1"/>
    </row>
    <row r="153" customFormat="false" ht="15.75" hidden="false" customHeight="true" outlineLevel="0" collapsed="false">
      <c r="P153" s="1"/>
      <c r="Q153" s="1"/>
      <c r="R153" s="1"/>
      <c r="S153" s="1"/>
      <c r="T153" s="1"/>
      <c r="U153" s="1"/>
      <c r="V153" s="1"/>
      <c r="W153" s="1"/>
      <c r="X153" s="1"/>
      <c r="Y153" s="1"/>
      <c r="Z153" s="1"/>
    </row>
    <row r="154" customFormat="false" ht="15.75" hidden="false" customHeight="true" outlineLevel="0" collapsed="false">
      <c r="P154" s="1"/>
      <c r="Q154" s="1"/>
      <c r="R154" s="1"/>
      <c r="S154" s="1"/>
      <c r="T154" s="1"/>
      <c r="U154" s="1"/>
      <c r="V154" s="1"/>
      <c r="W154" s="1"/>
      <c r="X154" s="1"/>
      <c r="Y154" s="1"/>
      <c r="Z154" s="1"/>
    </row>
    <row r="155" customFormat="false" ht="15.75" hidden="false" customHeight="true" outlineLevel="0" collapsed="false">
      <c r="P155" s="1"/>
      <c r="Q155" s="1"/>
      <c r="R155" s="1"/>
      <c r="S155" s="1"/>
      <c r="T155" s="1"/>
      <c r="U155" s="1"/>
      <c r="V155" s="1"/>
      <c r="W155" s="1"/>
      <c r="X155" s="1"/>
      <c r="Y155" s="1"/>
      <c r="Z155" s="1"/>
    </row>
    <row r="156" customFormat="false" ht="15.75" hidden="false" customHeight="true" outlineLevel="0" collapsed="false">
      <c r="P156" s="1"/>
      <c r="Q156" s="1"/>
      <c r="R156" s="1"/>
      <c r="S156" s="1"/>
      <c r="T156" s="1"/>
      <c r="U156" s="1"/>
      <c r="V156" s="1"/>
      <c r="W156" s="1"/>
      <c r="X156" s="1"/>
      <c r="Y156" s="1"/>
      <c r="Z156" s="1"/>
    </row>
    <row r="157" customFormat="false" ht="15.75" hidden="false" customHeight="true" outlineLevel="0" collapsed="false">
      <c r="P157" s="1"/>
      <c r="Q157" s="1"/>
      <c r="R157" s="1"/>
      <c r="S157" s="1"/>
      <c r="T157" s="1"/>
      <c r="U157" s="1"/>
      <c r="V157" s="1"/>
      <c r="W157" s="1"/>
      <c r="X157" s="1"/>
      <c r="Y157" s="1"/>
      <c r="Z157" s="1"/>
    </row>
    <row r="158" customFormat="false" ht="15.75" hidden="false" customHeight="true" outlineLevel="0" collapsed="false">
      <c r="P158" s="1"/>
      <c r="Q158" s="1"/>
      <c r="R158" s="1"/>
      <c r="S158" s="1"/>
      <c r="T158" s="1"/>
      <c r="U158" s="1"/>
      <c r="V158" s="1"/>
      <c r="W158" s="1"/>
      <c r="X158" s="1"/>
      <c r="Y158" s="1"/>
      <c r="Z158" s="1"/>
    </row>
    <row r="159" customFormat="false" ht="15.75" hidden="false" customHeight="true" outlineLevel="0" collapsed="false">
      <c r="P159" s="1"/>
      <c r="Q159" s="1"/>
      <c r="R159" s="1"/>
      <c r="S159" s="1"/>
      <c r="T159" s="1"/>
      <c r="U159" s="1"/>
      <c r="V159" s="1"/>
      <c r="W159" s="1"/>
      <c r="X159" s="1"/>
      <c r="Y159" s="1"/>
      <c r="Z159" s="1"/>
    </row>
    <row r="160" customFormat="false" ht="15.75" hidden="false" customHeight="true" outlineLevel="0" collapsed="false">
      <c r="P160" s="1"/>
      <c r="Q160" s="1"/>
      <c r="R160" s="1"/>
      <c r="S160" s="1"/>
      <c r="T160" s="1"/>
      <c r="U160" s="1"/>
      <c r="V160" s="1"/>
      <c r="W160" s="1"/>
      <c r="X160" s="1"/>
      <c r="Y160" s="1"/>
      <c r="Z160" s="1"/>
    </row>
    <row r="161" customFormat="false" ht="15.75" hidden="false" customHeight="true" outlineLevel="0" collapsed="false">
      <c r="P161" s="1"/>
      <c r="Q161" s="1"/>
      <c r="R161" s="1"/>
      <c r="S161" s="1"/>
      <c r="T161" s="1"/>
      <c r="U161" s="1"/>
      <c r="V161" s="1"/>
      <c r="W161" s="1"/>
      <c r="X161" s="1"/>
      <c r="Y161" s="1"/>
      <c r="Z161" s="1"/>
    </row>
    <row r="162" customFormat="false" ht="15.75" hidden="false" customHeight="true" outlineLevel="0" collapsed="false">
      <c r="P162" s="1"/>
      <c r="Q162" s="1"/>
      <c r="R162" s="1"/>
      <c r="S162" s="1"/>
      <c r="T162" s="1"/>
      <c r="U162" s="1"/>
      <c r="V162" s="1"/>
      <c r="W162" s="1"/>
      <c r="X162" s="1"/>
      <c r="Y162" s="1"/>
      <c r="Z162" s="1"/>
    </row>
    <row r="163" customFormat="false" ht="15.75" hidden="false" customHeight="true" outlineLevel="0" collapsed="false">
      <c r="P163" s="1"/>
      <c r="Q163" s="1"/>
      <c r="R163" s="1"/>
      <c r="S163" s="1"/>
      <c r="T163" s="1"/>
      <c r="U163" s="1"/>
      <c r="V163" s="1"/>
      <c r="W163" s="1"/>
      <c r="X163" s="1"/>
      <c r="Y163" s="1"/>
      <c r="Z163" s="1"/>
    </row>
    <row r="164" customFormat="false" ht="15.75" hidden="false" customHeight="true" outlineLevel="0" collapsed="false">
      <c r="P164" s="1"/>
      <c r="Q164" s="1"/>
      <c r="R164" s="1"/>
      <c r="S164" s="1"/>
      <c r="T164" s="1"/>
      <c r="U164" s="1"/>
      <c r="V164" s="1"/>
      <c r="W164" s="1"/>
      <c r="X164" s="1"/>
      <c r="Y164" s="1"/>
      <c r="Z164" s="1"/>
    </row>
    <row r="165" customFormat="false" ht="15.75" hidden="false" customHeight="true" outlineLevel="0" collapsed="false">
      <c r="P165" s="1"/>
      <c r="Q165" s="1"/>
      <c r="R165" s="1"/>
      <c r="S165" s="1"/>
      <c r="T165" s="1"/>
      <c r="U165" s="1"/>
      <c r="V165" s="1"/>
      <c r="W165" s="1"/>
      <c r="X165" s="1"/>
      <c r="Y165" s="1"/>
      <c r="Z165" s="1"/>
    </row>
    <row r="166" customFormat="false" ht="15.75" hidden="false" customHeight="true" outlineLevel="0" collapsed="false">
      <c r="P166" s="1"/>
      <c r="Q166" s="1"/>
      <c r="R166" s="1"/>
      <c r="S166" s="1"/>
      <c r="T166" s="1"/>
      <c r="U166" s="1"/>
      <c r="V166" s="1"/>
      <c r="W166" s="1"/>
      <c r="X166" s="1"/>
      <c r="Y166" s="1"/>
      <c r="Z166" s="1"/>
    </row>
    <row r="167" customFormat="false" ht="15.75" hidden="false" customHeight="true" outlineLevel="0" collapsed="false">
      <c r="P167" s="1"/>
      <c r="Q167" s="1"/>
      <c r="R167" s="1"/>
      <c r="S167" s="1"/>
      <c r="T167" s="1"/>
      <c r="U167" s="1"/>
      <c r="V167" s="1"/>
      <c r="W167" s="1"/>
      <c r="X167" s="1"/>
      <c r="Y167" s="1"/>
      <c r="Z167" s="1"/>
    </row>
    <row r="168" customFormat="false" ht="15.75" hidden="false" customHeight="true" outlineLevel="0" collapsed="false">
      <c r="P168" s="1"/>
      <c r="Q168" s="1"/>
      <c r="R168" s="1"/>
      <c r="S168" s="1"/>
      <c r="T168" s="1"/>
      <c r="U168" s="1"/>
      <c r="V168" s="1"/>
      <c r="W168" s="1"/>
      <c r="X168" s="1"/>
      <c r="Y168" s="1"/>
      <c r="Z168" s="1"/>
    </row>
    <row r="169" customFormat="false" ht="15.75" hidden="false" customHeight="true" outlineLevel="0" collapsed="false">
      <c r="P169" s="1"/>
      <c r="Q169" s="1"/>
      <c r="R169" s="1"/>
      <c r="S169" s="1"/>
      <c r="T169" s="1"/>
      <c r="U169" s="1"/>
      <c r="V169" s="1"/>
      <c r="W169" s="1"/>
      <c r="X169" s="1"/>
      <c r="Y169" s="1"/>
      <c r="Z169" s="1"/>
    </row>
    <row r="170" customFormat="false" ht="15.75" hidden="false" customHeight="true" outlineLevel="0" collapsed="false">
      <c r="P170" s="1"/>
      <c r="Q170" s="1"/>
      <c r="R170" s="1"/>
      <c r="S170" s="1"/>
      <c r="T170" s="1"/>
      <c r="U170" s="1"/>
      <c r="V170" s="1"/>
      <c r="W170" s="1"/>
      <c r="X170" s="1"/>
      <c r="Y170" s="1"/>
      <c r="Z170" s="1"/>
    </row>
    <row r="171" customFormat="false" ht="15.75" hidden="false" customHeight="true" outlineLevel="0" collapsed="false">
      <c r="P171" s="1"/>
      <c r="Q171" s="1"/>
      <c r="R171" s="1"/>
      <c r="S171" s="1"/>
      <c r="T171" s="1"/>
      <c r="U171" s="1"/>
      <c r="V171" s="1"/>
      <c r="W171" s="1"/>
      <c r="X171" s="1"/>
      <c r="Y171" s="1"/>
      <c r="Z171" s="1"/>
    </row>
    <row r="172" customFormat="false" ht="15.75" hidden="false" customHeight="true" outlineLevel="0" collapsed="false">
      <c r="P172" s="1"/>
      <c r="Q172" s="1"/>
      <c r="R172" s="1"/>
      <c r="S172" s="1"/>
      <c r="T172" s="1"/>
      <c r="U172" s="1"/>
      <c r="V172" s="1"/>
      <c r="W172" s="1"/>
      <c r="X172" s="1"/>
      <c r="Y172" s="1"/>
      <c r="Z172" s="1"/>
    </row>
    <row r="173" customFormat="false" ht="15.75" hidden="false" customHeight="true" outlineLevel="0" collapsed="false">
      <c r="P173" s="1"/>
      <c r="Q173" s="1"/>
      <c r="R173" s="1"/>
      <c r="S173" s="1"/>
      <c r="T173" s="1"/>
      <c r="U173" s="1"/>
      <c r="V173" s="1"/>
      <c r="W173" s="1"/>
      <c r="X173" s="1"/>
      <c r="Y173" s="1"/>
      <c r="Z173" s="1"/>
    </row>
    <row r="174" customFormat="false" ht="15.75" hidden="false" customHeight="true" outlineLevel="0" collapsed="false">
      <c r="P174" s="1"/>
      <c r="Q174" s="1"/>
      <c r="R174" s="1"/>
      <c r="S174" s="1"/>
      <c r="T174" s="1"/>
      <c r="U174" s="1"/>
      <c r="V174" s="1"/>
      <c r="W174" s="1"/>
      <c r="X174" s="1"/>
      <c r="Y174" s="1"/>
      <c r="Z174" s="1"/>
    </row>
    <row r="175" customFormat="false" ht="15.75" hidden="false" customHeight="true" outlineLevel="0" collapsed="false">
      <c r="P175" s="1"/>
      <c r="Q175" s="1"/>
      <c r="R175" s="1"/>
      <c r="S175" s="1"/>
      <c r="T175" s="1"/>
      <c r="U175" s="1"/>
      <c r="V175" s="1"/>
      <c r="W175" s="1"/>
      <c r="X175" s="1"/>
      <c r="Y175" s="1"/>
      <c r="Z175" s="1"/>
    </row>
    <row r="176" customFormat="false" ht="15.75" hidden="false" customHeight="true" outlineLevel="0" collapsed="false">
      <c r="P176" s="1"/>
      <c r="Q176" s="1"/>
      <c r="R176" s="1"/>
      <c r="S176" s="1"/>
      <c r="T176" s="1"/>
      <c r="U176" s="1"/>
      <c r="V176" s="1"/>
      <c r="W176" s="1"/>
      <c r="X176" s="1"/>
      <c r="Y176" s="1"/>
      <c r="Z176" s="1"/>
    </row>
    <row r="177" customFormat="false" ht="15.75" hidden="false" customHeight="true" outlineLevel="0" collapsed="false">
      <c r="P177" s="1"/>
      <c r="Q177" s="1"/>
      <c r="R177" s="1"/>
      <c r="S177" s="1"/>
      <c r="T177" s="1"/>
      <c r="U177" s="1"/>
      <c r="V177" s="1"/>
      <c r="W177" s="1"/>
      <c r="X177" s="1"/>
      <c r="Y177" s="1"/>
      <c r="Z177" s="1"/>
    </row>
    <row r="178" customFormat="false" ht="15.75" hidden="false" customHeight="true" outlineLevel="0" collapsed="false">
      <c r="P178" s="1"/>
      <c r="Q178" s="1"/>
      <c r="R178" s="1"/>
      <c r="S178" s="1"/>
      <c r="T178" s="1"/>
      <c r="U178" s="1"/>
      <c r="V178" s="1"/>
      <c r="W178" s="1"/>
      <c r="X178" s="1"/>
      <c r="Y178" s="1"/>
      <c r="Z178" s="1"/>
    </row>
    <row r="179" customFormat="false" ht="15.75" hidden="false" customHeight="true" outlineLevel="0" collapsed="false">
      <c r="P179" s="1"/>
      <c r="Q179" s="1"/>
      <c r="R179" s="1"/>
      <c r="S179" s="1"/>
      <c r="T179" s="1"/>
      <c r="U179" s="1"/>
      <c r="V179" s="1"/>
      <c r="W179" s="1"/>
      <c r="X179" s="1"/>
      <c r="Y179" s="1"/>
      <c r="Z179" s="1"/>
    </row>
    <row r="180" customFormat="false" ht="15.75" hidden="false" customHeight="true" outlineLevel="0" collapsed="false">
      <c r="P180" s="1"/>
      <c r="Q180" s="1"/>
      <c r="R180" s="1"/>
      <c r="S180" s="1"/>
      <c r="T180" s="1"/>
      <c r="U180" s="1"/>
      <c r="V180" s="1"/>
      <c r="W180" s="1"/>
      <c r="X180" s="1"/>
      <c r="Y180" s="1"/>
      <c r="Z180" s="1"/>
    </row>
    <row r="181" customFormat="false" ht="15.75" hidden="false" customHeight="true" outlineLevel="0" collapsed="false">
      <c r="P181" s="1"/>
      <c r="Q181" s="1"/>
      <c r="R181" s="1"/>
      <c r="S181" s="1"/>
      <c r="T181" s="1"/>
      <c r="U181" s="1"/>
      <c r="V181" s="1"/>
      <c r="W181" s="1"/>
      <c r="X181" s="1"/>
      <c r="Y181" s="1"/>
      <c r="Z181" s="1"/>
    </row>
    <row r="182" customFormat="false" ht="15.75" hidden="false" customHeight="true" outlineLevel="0" collapsed="false">
      <c r="P182" s="1"/>
      <c r="Q182" s="1"/>
      <c r="R182" s="1"/>
      <c r="S182" s="1"/>
      <c r="T182" s="1"/>
      <c r="U182" s="1"/>
      <c r="V182" s="1"/>
      <c r="W182" s="1"/>
      <c r="X182" s="1"/>
      <c r="Y182" s="1"/>
      <c r="Z182" s="1"/>
    </row>
    <row r="183" customFormat="false" ht="15.75" hidden="false" customHeight="true" outlineLevel="0" collapsed="false">
      <c r="P183" s="1"/>
      <c r="Q183" s="1"/>
      <c r="R183" s="1"/>
      <c r="S183" s="1"/>
      <c r="T183" s="1"/>
      <c r="U183" s="1"/>
      <c r="V183" s="1"/>
      <c r="W183" s="1"/>
      <c r="X183" s="1"/>
      <c r="Y183" s="1"/>
      <c r="Z183" s="1"/>
    </row>
    <row r="184" customFormat="false" ht="15.75" hidden="false" customHeight="true" outlineLevel="0" collapsed="false">
      <c r="P184" s="1"/>
      <c r="Q184" s="1"/>
      <c r="R184" s="1"/>
      <c r="S184" s="1"/>
      <c r="T184" s="1"/>
      <c r="U184" s="1"/>
      <c r="V184" s="1"/>
      <c r="W184" s="1"/>
      <c r="X184" s="1"/>
      <c r="Y184" s="1"/>
      <c r="Z184" s="1"/>
    </row>
    <row r="185" customFormat="false" ht="15.75" hidden="false" customHeight="true" outlineLevel="0" collapsed="false">
      <c r="P185" s="1"/>
      <c r="Q185" s="1"/>
      <c r="R185" s="1"/>
      <c r="S185" s="1"/>
      <c r="T185" s="1"/>
      <c r="U185" s="1"/>
      <c r="V185" s="1"/>
      <c r="W185" s="1"/>
      <c r="X185" s="1"/>
      <c r="Y185" s="1"/>
      <c r="Z185" s="1"/>
    </row>
    <row r="186" customFormat="false" ht="15.75" hidden="false" customHeight="true" outlineLevel="0" collapsed="false">
      <c r="P186" s="1"/>
      <c r="Q186" s="1"/>
      <c r="R186" s="1"/>
      <c r="S186" s="1"/>
      <c r="T186" s="1"/>
      <c r="U186" s="1"/>
      <c r="V186" s="1"/>
      <c r="W186" s="1"/>
      <c r="X186" s="1"/>
      <c r="Y186" s="1"/>
      <c r="Z186" s="1"/>
    </row>
    <row r="187" customFormat="false" ht="15.75" hidden="false" customHeight="true" outlineLevel="0" collapsed="false">
      <c r="P187" s="1"/>
      <c r="Q187" s="1"/>
      <c r="R187" s="1"/>
      <c r="S187" s="1"/>
      <c r="T187" s="1"/>
      <c r="U187" s="1"/>
      <c r="V187" s="1"/>
      <c r="W187" s="1"/>
      <c r="X187" s="1"/>
      <c r="Y187" s="1"/>
      <c r="Z187" s="1"/>
    </row>
    <row r="188" customFormat="false" ht="15.75" hidden="false" customHeight="true" outlineLevel="0" collapsed="false">
      <c r="P188" s="1"/>
      <c r="Q188" s="1"/>
      <c r="R188" s="1"/>
      <c r="S188" s="1"/>
      <c r="T188" s="1"/>
      <c r="U188" s="1"/>
      <c r="V188" s="1"/>
      <c r="W188" s="1"/>
      <c r="X188" s="1"/>
      <c r="Y188" s="1"/>
      <c r="Z188" s="1"/>
    </row>
    <row r="189" customFormat="false" ht="15.75" hidden="false" customHeight="true" outlineLevel="0" collapsed="false">
      <c r="P189" s="1"/>
      <c r="Q189" s="1"/>
      <c r="R189" s="1"/>
      <c r="S189" s="1"/>
      <c r="T189" s="1"/>
      <c r="U189" s="1"/>
      <c r="V189" s="1"/>
      <c r="W189" s="1"/>
      <c r="X189" s="1"/>
      <c r="Y189" s="1"/>
      <c r="Z189" s="1"/>
    </row>
    <row r="190" customFormat="false" ht="15.75" hidden="false" customHeight="true" outlineLevel="0" collapsed="false">
      <c r="P190" s="1"/>
      <c r="Q190" s="1"/>
      <c r="R190" s="1"/>
      <c r="S190" s="1"/>
      <c r="T190" s="1"/>
      <c r="U190" s="1"/>
      <c r="V190" s="1"/>
      <c r="W190" s="1"/>
      <c r="X190" s="1"/>
      <c r="Y190" s="1"/>
      <c r="Z190" s="1"/>
    </row>
    <row r="191" customFormat="false" ht="15.75" hidden="false" customHeight="true" outlineLevel="0" collapsed="false">
      <c r="P191" s="1"/>
      <c r="Q191" s="1"/>
      <c r="R191" s="1"/>
      <c r="S191" s="1"/>
      <c r="T191" s="1"/>
      <c r="U191" s="1"/>
      <c r="V191" s="1"/>
      <c r="W191" s="1"/>
      <c r="X191" s="1"/>
      <c r="Y191" s="1"/>
      <c r="Z191" s="1"/>
    </row>
    <row r="192" customFormat="false" ht="15.75" hidden="false" customHeight="true" outlineLevel="0" collapsed="false">
      <c r="P192" s="1"/>
      <c r="Q192" s="1"/>
      <c r="R192" s="1"/>
      <c r="S192" s="1"/>
      <c r="T192" s="1"/>
      <c r="U192" s="1"/>
      <c r="V192" s="1"/>
      <c r="W192" s="1"/>
      <c r="X192" s="1"/>
      <c r="Y192" s="1"/>
      <c r="Z192" s="1"/>
    </row>
    <row r="193" customFormat="false" ht="15.75" hidden="false" customHeight="true" outlineLevel="0" collapsed="false">
      <c r="P193" s="1"/>
      <c r="Q193" s="1"/>
      <c r="R193" s="1"/>
      <c r="S193" s="1"/>
      <c r="T193" s="1"/>
      <c r="U193" s="1"/>
      <c r="V193" s="1"/>
      <c r="W193" s="1"/>
      <c r="X193" s="1"/>
      <c r="Y193" s="1"/>
      <c r="Z193" s="1"/>
    </row>
    <row r="194" customFormat="false" ht="15.75" hidden="false" customHeight="true" outlineLevel="0" collapsed="false">
      <c r="P194" s="1"/>
      <c r="Q194" s="1"/>
      <c r="R194" s="1"/>
      <c r="S194" s="1"/>
      <c r="T194" s="1"/>
      <c r="U194" s="1"/>
      <c r="V194" s="1"/>
      <c r="W194" s="1"/>
      <c r="X194" s="1"/>
      <c r="Y194" s="1"/>
      <c r="Z194" s="1"/>
    </row>
    <row r="195" customFormat="false" ht="15.75" hidden="false" customHeight="true" outlineLevel="0" collapsed="false">
      <c r="P195" s="1"/>
      <c r="Q195" s="1"/>
      <c r="R195" s="1"/>
      <c r="S195" s="1"/>
      <c r="T195" s="1"/>
      <c r="U195" s="1"/>
      <c r="V195" s="1"/>
      <c r="W195" s="1"/>
      <c r="X195" s="1"/>
      <c r="Y195" s="1"/>
      <c r="Z195" s="1"/>
    </row>
    <row r="196" customFormat="false" ht="15.75" hidden="false" customHeight="true" outlineLevel="0" collapsed="false">
      <c r="P196" s="1"/>
      <c r="Q196" s="1"/>
      <c r="R196" s="1"/>
      <c r="S196" s="1"/>
      <c r="T196" s="1"/>
      <c r="U196" s="1"/>
      <c r="V196" s="1"/>
      <c r="W196" s="1"/>
      <c r="X196" s="1"/>
      <c r="Y196" s="1"/>
      <c r="Z196" s="1"/>
    </row>
    <row r="197" customFormat="false" ht="15.75" hidden="false" customHeight="true" outlineLevel="0" collapsed="false">
      <c r="P197" s="1"/>
      <c r="Q197" s="1"/>
      <c r="R197" s="1"/>
      <c r="S197" s="1"/>
      <c r="T197" s="1"/>
      <c r="U197" s="1"/>
      <c r="V197" s="1"/>
      <c r="W197" s="1"/>
      <c r="X197" s="1"/>
      <c r="Y197" s="1"/>
      <c r="Z197" s="1"/>
    </row>
    <row r="198" customFormat="false" ht="15.75" hidden="false" customHeight="true" outlineLevel="0" collapsed="false">
      <c r="P198" s="1"/>
      <c r="Q198" s="1"/>
      <c r="R198" s="1"/>
      <c r="S198" s="1"/>
      <c r="T198" s="1"/>
      <c r="U198" s="1"/>
      <c r="V198" s="1"/>
      <c r="W198" s="1"/>
      <c r="X198" s="1"/>
      <c r="Y198" s="1"/>
      <c r="Z198" s="1"/>
    </row>
    <row r="199" customFormat="false" ht="15.75" hidden="false" customHeight="true" outlineLevel="0" collapsed="false">
      <c r="P199" s="1"/>
      <c r="Q199" s="1"/>
      <c r="R199" s="1"/>
      <c r="S199" s="1"/>
      <c r="T199" s="1"/>
      <c r="U199" s="1"/>
      <c r="V199" s="1"/>
      <c r="W199" s="1"/>
      <c r="X199" s="1"/>
      <c r="Y199" s="1"/>
      <c r="Z199" s="1"/>
    </row>
    <row r="200" customFormat="false" ht="15.75" hidden="false" customHeight="true" outlineLevel="0" collapsed="false">
      <c r="P200" s="1"/>
      <c r="Q200" s="1"/>
      <c r="R200" s="1"/>
      <c r="S200" s="1"/>
      <c r="T200" s="1"/>
      <c r="U200" s="1"/>
      <c r="V200" s="1"/>
      <c r="W200" s="1"/>
      <c r="X200" s="1"/>
      <c r="Y200" s="1"/>
      <c r="Z200" s="1"/>
    </row>
    <row r="201" customFormat="false" ht="15.75" hidden="false" customHeight="true" outlineLevel="0" collapsed="false">
      <c r="P201" s="1"/>
      <c r="Q201" s="1"/>
      <c r="R201" s="1"/>
      <c r="S201" s="1"/>
      <c r="T201" s="1"/>
      <c r="U201" s="1"/>
      <c r="V201" s="1"/>
      <c r="W201" s="1"/>
      <c r="X201" s="1"/>
      <c r="Y201" s="1"/>
      <c r="Z201" s="1"/>
    </row>
    <row r="202" customFormat="false" ht="15.75" hidden="false" customHeight="true" outlineLevel="0" collapsed="false">
      <c r="P202" s="1"/>
      <c r="Q202" s="1"/>
      <c r="R202" s="1"/>
      <c r="S202" s="1"/>
      <c r="T202" s="1"/>
      <c r="U202" s="1"/>
      <c r="V202" s="1"/>
      <c r="W202" s="1"/>
      <c r="X202" s="1"/>
      <c r="Y202" s="1"/>
      <c r="Z202" s="1"/>
    </row>
    <row r="203" customFormat="false" ht="15.75" hidden="false" customHeight="true" outlineLevel="0" collapsed="false">
      <c r="P203" s="1"/>
      <c r="Q203" s="1"/>
      <c r="R203" s="1"/>
      <c r="S203" s="1"/>
      <c r="T203" s="1"/>
      <c r="U203" s="1"/>
      <c r="V203" s="1"/>
      <c r="W203" s="1"/>
      <c r="X203" s="1"/>
      <c r="Y203" s="1"/>
      <c r="Z203" s="1"/>
    </row>
    <row r="204" customFormat="false" ht="15.75" hidden="false" customHeight="true" outlineLevel="0" collapsed="false">
      <c r="P204" s="1"/>
      <c r="Q204" s="1"/>
      <c r="R204" s="1"/>
      <c r="S204" s="1"/>
      <c r="T204" s="1"/>
      <c r="U204" s="1"/>
      <c r="V204" s="1"/>
      <c r="W204" s="1"/>
      <c r="X204" s="1"/>
      <c r="Y204" s="1"/>
      <c r="Z204" s="1"/>
    </row>
    <row r="205" customFormat="false" ht="15.75" hidden="false" customHeight="true" outlineLevel="0" collapsed="false">
      <c r="P205" s="1"/>
      <c r="Q205" s="1"/>
      <c r="R205" s="1"/>
      <c r="S205" s="1"/>
      <c r="T205" s="1"/>
      <c r="U205" s="1"/>
      <c r="V205" s="1"/>
      <c r="W205" s="1"/>
      <c r="X205" s="1"/>
      <c r="Y205" s="1"/>
      <c r="Z205" s="1"/>
    </row>
    <row r="206" customFormat="false" ht="15.75" hidden="false" customHeight="true" outlineLevel="0" collapsed="false">
      <c r="P206" s="1"/>
      <c r="Q206" s="1"/>
      <c r="R206" s="1"/>
      <c r="S206" s="1"/>
      <c r="T206" s="1"/>
      <c r="U206" s="1"/>
      <c r="V206" s="1"/>
      <c r="W206" s="1"/>
      <c r="X206" s="1"/>
      <c r="Y206" s="1"/>
      <c r="Z206" s="1"/>
    </row>
    <row r="207" customFormat="false" ht="15.75" hidden="false" customHeight="true" outlineLevel="0" collapsed="false">
      <c r="P207" s="1"/>
      <c r="Q207" s="1"/>
      <c r="R207" s="1"/>
      <c r="S207" s="1"/>
      <c r="T207" s="1"/>
      <c r="U207" s="1"/>
      <c r="V207" s="1"/>
      <c r="W207" s="1"/>
      <c r="X207" s="1"/>
      <c r="Y207" s="1"/>
      <c r="Z207" s="1"/>
    </row>
    <row r="208" customFormat="false" ht="15.75" hidden="false" customHeight="true" outlineLevel="0" collapsed="false">
      <c r="P208" s="1"/>
      <c r="Q208" s="1"/>
      <c r="R208" s="1"/>
      <c r="S208" s="1"/>
      <c r="T208" s="1"/>
      <c r="U208" s="1"/>
      <c r="V208" s="1"/>
      <c r="W208" s="1"/>
      <c r="X208" s="1"/>
      <c r="Y208" s="1"/>
      <c r="Z208" s="1"/>
    </row>
    <row r="209" customFormat="false" ht="15.75" hidden="false" customHeight="true" outlineLevel="0" collapsed="false">
      <c r="P209" s="1"/>
      <c r="Q209" s="1"/>
      <c r="R209" s="1"/>
      <c r="S209" s="1"/>
      <c r="T209" s="1"/>
      <c r="U209" s="1"/>
      <c r="V209" s="1"/>
      <c r="W209" s="1"/>
      <c r="X209" s="1"/>
      <c r="Y209" s="1"/>
      <c r="Z209" s="1"/>
    </row>
    <row r="210" customFormat="false" ht="15.75" hidden="false" customHeight="true" outlineLevel="0" collapsed="false">
      <c r="P210" s="1"/>
      <c r="Q210" s="1"/>
      <c r="R210" s="1"/>
      <c r="S210" s="1"/>
      <c r="T210" s="1"/>
      <c r="U210" s="1"/>
      <c r="V210" s="1"/>
      <c r="W210" s="1"/>
      <c r="X210" s="1"/>
      <c r="Y210" s="1"/>
      <c r="Z210" s="1"/>
    </row>
    <row r="211" customFormat="false" ht="15.75" hidden="false" customHeight="true" outlineLevel="0" collapsed="false">
      <c r="P211" s="1"/>
      <c r="Q211" s="1"/>
      <c r="R211" s="1"/>
      <c r="S211" s="1"/>
      <c r="T211" s="1"/>
      <c r="U211" s="1"/>
      <c r="V211" s="1"/>
      <c r="W211" s="1"/>
      <c r="X211" s="1"/>
      <c r="Y211" s="1"/>
      <c r="Z211" s="1"/>
    </row>
    <row r="212" customFormat="false" ht="15.75" hidden="false" customHeight="true" outlineLevel="0" collapsed="false">
      <c r="P212" s="1"/>
      <c r="Q212" s="1"/>
      <c r="R212" s="1"/>
      <c r="S212" s="1"/>
      <c r="T212" s="1"/>
      <c r="U212" s="1"/>
      <c r="V212" s="1"/>
      <c r="W212" s="1"/>
      <c r="X212" s="1"/>
      <c r="Y212" s="1"/>
      <c r="Z212" s="1"/>
    </row>
    <row r="213" customFormat="false" ht="15.75" hidden="false" customHeight="true" outlineLevel="0" collapsed="false">
      <c r="P213" s="1"/>
      <c r="Q213" s="1"/>
      <c r="R213" s="1"/>
      <c r="S213" s="1"/>
      <c r="T213" s="1"/>
      <c r="U213" s="1"/>
      <c r="V213" s="1"/>
      <c r="W213" s="1"/>
      <c r="X213" s="1"/>
      <c r="Y213" s="1"/>
      <c r="Z213" s="1"/>
    </row>
    <row r="214" customFormat="false" ht="15.75" hidden="false" customHeight="true" outlineLevel="0" collapsed="false">
      <c r="P214" s="1"/>
      <c r="Q214" s="1"/>
      <c r="R214" s="1"/>
      <c r="S214" s="1"/>
      <c r="T214" s="1"/>
      <c r="U214" s="1"/>
      <c r="V214" s="1"/>
      <c r="W214" s="1"/>
      <c r="X214" s="1"/>
      <c r="Y214" s="1"/>
      <c r="Z214" s="1"/>
    </row>
    <row r="215" customFormat="false" ht="15.75" hidden="false" customHeight="true" outlineLevel="0" collapsed="false">
      <c r="P215" s="1"/>
      <c r="Q215" s="1"/>
      <c r="R215" s="1"/>
      <c r="S215" s="1"/>
      <c r="T215" s="1"/>
      <c r="U215" s="1"/>
      <c r="V215" s="1"/>
      <c r="W215" s="1"/>
      <c r="X215" s="1"/>
      <c r="Y215" s="1"/>
      <c r="Z215" s="1"/>
    </row>
    <row r="216" customFormat="false" ht="15.75" hidden="false" customHeight="true" outlineLevel="0" collapsed="false">
      <c r="P216" s="1"/>
      <c r="Q216" s="1"/>
      <c r="R216" s="1"/>
      <c r="S216" s="1"/>
      <c r="T216" s="1"/>
      <c r="U216" s="1"/>
      <c r="V216" s="1"/>
      <c r="W216" s="1"/>
      <c r="X216" s="1"/>
      <c r="Y216" s="1"/>
      <c r="Z216" s="1"/>
    </row>
    <row r="217" customFormat="false" ht="15.75" hidden="false" customHeight="true" outlineLevel="0" collapsed="false">
      <c r="P217" s="1"/>
      <c r="Q217" s="1"/>
      <c r="R217" s="1"/>
      <c r="S217" s="1"/>
      <c r="T217" s="1"/>
      <c r="U217" s="1"/>
      <c r="V217" s="1"/>
      <c r="W217" s="1"/>
      <c r="X217" s="1"/>
      <c r="Y217" s="1"/>
      <c r="Z217" s="1"/>
    </row>
    <row r="218" customFormat="false" ht="15.75" hidden="false" customHeight="true" outlineLevel="0" collapsed="false">
      <c r="P218" s="1"/>
      <c r="Q218" s="1"/>
      <c r="R218" s="1"/>
      <c r="S218" s="1"/>
      <c r="T218" s="1"/>
      <c r="U218" s="1"/>
      <c r="V218" s="1"/>
      <c r="W218" s="1"/>
      <c r="X218" s="1"/>
      <c r="Y218" s="1"/>
      <c r="Z218" s="1"/>
    </row>
    <row r="219" customFormat="false" ht="15.75" hidden="false" customHeight="true" outlineLevel="0" collapsed="false">
      <c r="P219" s="1"/>
      <c r="Q219" s="1"/>
      <c r="R219" s="1"/>
      <c r="S219" s="1"/>
      <c r="T219" s="1"/>
      <c r="U219" s="1"/>
      <c r="V219" s="1"/>
      <c r="W219" s="1"/>
      <c r="X219" s="1"/>
      <c r="Y219" s="1"/>
      <c r="Z219" s="1"/>
    </row>
    <row r="220" customFormat="false" ht="15.75" hidden="false" customHeight="true" outlineLevel="0" collapsed="false">
      <c r="P220" s="1"/>
      <c r="Q220" s="1"/>
      <c r="R220" s="1"/>
      <c r="S220" s="1"/>
      <c r="T220" s="1"/>
      <c r="U220" s="1"/>
      <c r="V220" s="1"/>
      <c r="W220" s="1"/>
      <c r="X220" s="1"/>
      <c r="Y220" s="1"/>
      <c r="Z220" s="1"/>
    </row>
    <row r="221" customFormat="false" ht="15.75" hidden="false" customHeight="true" outlineLevel="0" collapsed="false">
      <c r="P221" s="1"/>
      <c r="Q221" s="1"/>
      <c r="R221" s="1"/>
      <c r="S221" s="1"/>
      <c r="T221" s="1"/>
      <c r="U221" s="1"/>
      <c r="V221" s="1"/>
      <c r="W221" s="1"/>
      <c r="X221" s="1"/>
      <c r="Y221" s="1"/>
      <c r="Z221" s="1"/>
    </row>
    <row r="222" customFormat="false" ht="15.75" hidden="false" customHeight="true" outlineLevel="0" collapsed="false">
      <c r="P222" s="1"/>
      <c r="Q222" s="1"/>
      <c r="R222" s="1"/>
      <c r="S222" s="1"/>
      <c r="T222" s="1"/>
      <c r="U222" s="1"/>
      <c r="V222" s="1"/>
      <c r="W222" s="1"/>
      <c r="X222" s="1"/>
      <c r="Y222" s="1"/>
      <c r="Z222" s="1"/>
    </row>
    <row r="223" customFormat="false" ht="15.75" hidden="false" customHeight="true" outlineLevel="0" collapsed="false">
      <c r="P223" s="1"/>
      <c r="Q223" s="1"/>
      <c r="R223" s="1"/>
      <c r="S223" s="1"/>
      <c r="T223" s="1"/>
      <c r="U223" s="1"/>
      <c r="V223" s="1"/>
      <c r="W223" s="1"/>
      <c r="X223" s="1"/>
      <c r="Y223" s="1"/>
      <c r="Z223" s="1"/>
    </row>
    <row r="224" customFormat="false" ht="15.75" hidden="false" customHeight="true" outlineLevel="0" collapsed="false">
      <c r="P224" s="1"/>
      <c r="Q224" s="1"/>
      <c r="R224" s="1"/>
      <c r="S224" s="1"/>
      <c r="T224" s="1"/>
      <c r="U224" s="1"/>
      <c r="V224" s="1"/>
      <c r="W224" s="1"/>
      <c r="X224" s="1"/>
      <c r="Y224" s="1"/>
      <c r="Z224" s="1"/>
    </row>
    <row r="225" customFormat="false" ht="15.75" hidden="false" customHeight="true" outlineLevel="0" collapsed="false">
      <c r="P225" s="1"/>
      <c r="Q225" s="1"/>
      <c r="R225" s="1"/>
      <c r="S225" s="1"/>
      <c r="T225" s="1"/>
      <c r="U225" s="1"/>
      <c r="V225" s="1"/>
      <c r="W225" s="1"/>
      <c r="X225" s="1"/>
      <c r="Y225" s="1"/>
      <c r="Z225" s="1"/>
    </row>
    <row r="226" customFormat="false" ht="15.75" hidden="false" customHeight="true" outlineLevel="0" collapsed="false">
      <c r="P226" s="1"/>
      <c r="Q226" s="1"/>
      <c r="R226" s="1"/>
      <c r="S226" s="1"/>
      <c r="T226" s="1"/>
      <c r="U226" s="1"/>
      <c r="V226" s="1"/>
      <c r="W226" s="1"/>
      <c r="X226" s="1"/>
      <c r="Y226" s="1"/>
      <c r="Z226" s="1"/>
    </row>
    <row r="227" customFormat="false" ht="15.75" hidden="false" customHeight="true" outlineLevel="0" collapsed="false">
      <c r="P227" s="1"/>
      <c r="Q227" s="1"/>
      <c r="R227" s="1"/>
      <c r="S227" s="1"/>
      <c r="T227" s="1"/>
      <c r="U227" s="1"/>
      <c r="V227" s="1"/>
      <c r="W227" s="1"/>
      <c r="X227" s="1"/>
      <c r="Y227" s="1"/>
      <c r="Z227" s="1"/>
    </row>
    <row r="228" customFormat="false" ht="15.75" hidden="false" customHeight="true" outlineLevel="0" collapsed="false">
      <c r="P228" s="1"/>
      <c r="Q228" s="1"/>
      <c r="R228" s="1"/>
      <c r="S228" s="1"/>
      <c r="T228" s="1"/>
      <c r="U228" s="1"/>
      <c r="V228" s="1"/>
      <c r="W228" s="1"/>
      <c r="X228" s="1"/>
      <c r="Y228" s="1"/>
      <c r="Z228" s="1"/>
    </row>
    <row r="229" customFormat="false" ht="15.75" hidden="false" customHeight="true" outlineLevel="0" collapsed="false">
      <c r="P229" s="1"/>
      <c r="Q229" s="1"/>
      <c r="R229" s="1"/>
      <c r="S229" s="1"/>
      <c r="T229" s="1"/>
      <c r="U229" s="1"/>
      <c r="V229" s="1"/>
      <c r="W229" s="1"/>
      <c r="X229" s="1"/>
      <c r="Y229" s="1"/>
      <c r="Z229" s="1"/>
    </row>
    <row r="230" customFormat="false" ht="15.75" hidden="false" customHeight="true" outlineLevel="0" collapsed="false">
      <c r="P230" s="1"/>
      <c r="Q230" s="1"/>
      <c r="R230" s="1"/>
      <c r="S230" s="1"/>
      <c r="T230" s="1"/>
      <c r="U230" s="1"/>
      <c r="V230" s="1"/>
      <c r="W230" s="1"/>
      <c r="X230" s="1"/>
      <c r="Y230" s="1"/>
      <c r="Z230" s="1"/>
    </row>
    <row r="231" customFormat="false" ht="15.75" hidden="false" customHeight="true" outlineLevel="0" collapsed="false">
      <c r="P231" s="1"/>
      <c r="Q231" s="1"/>
      <c r="R231" s="1"/>
      <c r="S231" s="1"/>
      <c r="T231" s="1"/>
      <c r="U231" s="1"/>
      <c r="V231" s="1"/>
      <c r="W231" s="1"/>
      <c r="X231" s="1"/>
      <c r="Y231" s="1"/>
      <c r="Z231" s="1"/>
    </row>
    <row r="232" customFormat="false" ht="15.75" hidden="false" customHeight="true" outlineLevel="0" collapsed="false">
      <c r="P232" s="1"/>
      <c r="Q232" s="1"/>
      <c r="R232" s="1"/>
      <c r="S232" s="1"/>
      <c r="T232" s="1"/>
      <c r="U232" s="1"/>
      <c r="V232" s="1"/>
      <c r="W232" s="1"/>
      <c r="X232" s="1"/>
      <c r="Y232" s="1"/>
      <c r="Z232" s="1"/>
    </row>
    <row r="233" customFormat="false" ht="15.75" hidden="false" customHeight="true" outlineLevel="0" collapsed="false">
      <c r="P233" s="1"/>
      <c r="Q233" s="1"/>
      <c r="R233" s="1"/>
      <c r="S233" s="1"/>
      <c r="T233" s="1"/>
      <c r="U233" s="1"/>
      <c r="V233" s="1"/>
      <c r="W233" s="1"/>
      <c r="X233" s="1"/>
      <c r="Y233" s="1"/>
      <c r="Z233" s="1"/>
    </row>
    <row r="234" customFormat="false" ht="15.75" hidden="false" customHeight="true" outlineLevel="0" collapsed="false">
      <c r="P234" s="1"/>
      <c r="Q234" s="1"/>
      <c r="R234" s="1"/>
      <c r="S234" s="1"/>
      <c r="T234" s="1"/>
      <c r="U234" s="1"/>
      <c r="V234" s="1"/>
      <c r="W234" s="1"/>
      <c r="X234" s="1"/>
      <c r="Y234" s="1"/>
      <c r="Z234" s="1"/>
    </row>
    <row r="235" customFormat="false" ht="15.75" hidden="false" customHeight="true" outlineLevel="0" collapsed="false">
      <c r="P235" s="1"/>
      <c r="Q235" s="1"/>
      <c r="R235" s="1"/>
      <c r="S235" s="1"/>
      <c r="T235" s="1"/>
      <c r="U235" s="1"/>
      <c r="V235" s="1"/>
      <c r="W235" s="1"/>
      <c r="X235" s="1"/>
      <c r="Y235" s="1"/>
      <c r="Z235" s="1"/>
    </row>
    <row r="236" customFormat="false" ht="15.75" hidden="false" customHeight="true" outlineLevel="0" collapsed="false">
      <c r="P236" s="1"/>
      <c r="Q236" s="1"/>
      <c r="R236" s="1"/>
      <c r="S236" s="1"/>
      <c r="T236" s="1"/>
      <c r="U236" s="1"/>
      <c r="V236" s="1"/>
      <c r="W236" s="1"/>
      <c r="X236" s="1"/>
      <c r="Y236" s="1"/>
      <c r="Z236" s="1"/>
    </row>
    <row r="237" customFormat="false" ht="15.75" hidden="false" customHeight="true" outlineLevel="0" collapsed="false">
      <c r="P237" s="1"/>
      <c r="Q237" s="1"/>
      <c r="R237" s="1"/>
      <c r="S237" s="1"/>
      <c r="T237" s="1"/>
      <c r="U237" s="1"/>
      <c r="V237" s="1"/>
      <c r="W237" s="1"/>
      <c r="X237" s="1"/>
      <c r="Y237" s="1"/>
      <c r="Z237" s="1"/>
    </row>
    <row r="238" customFormat="false" ht="15.75" hidden="false" customHeight="true" outlineLevel="0" collapsed="false">
      <c r="P238" s="1"/>
      <c r="Q238" s="1"/>
      <c r="R238" s="1"/>
      <c r="S238" s="1"/>
      <c r="T238" s="1"/>
      <c r="U238" s="1"/>
      <c r="V238" s="1"/>
      <c r="W238" s="1"/>
      <c r="X238" s="1"/>
      <c r="Y238" s="1"/>
      <c r="Z238" s="1"/>
    </row>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A1:D1"/>
    <mergeCell ref="G1:H1"/>
    <mergeCell ref="A12:D12"/>
    <mergeCell ref="G14:H14"/>
    <mergeCell ref="G23:H23"/>
    <mergeCell ref="A25:C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10"/>
    <col collapsed="false" customWidth="true" hidden="false" outlineLevel="0" max="4" min="4" style="1" width="48"/>
  </cols>
  <sheetData>
    <row r="1" customFormat="false" ht="16.5" hidden="false" customHeight="true" outlineLevel="0" collapsed="false">
      <c r="A1" s="20" t="s">
        <v>161</v>
      </c>
    </row>
    <row r="2" customFormat="false" ht="15" hidden="false" customHeight="true" outlineLevel="0" collapsed="false">
      <c r="A2" s="20" t="s">
        <v>162</v>
      </c>
      <c r="B2" s="21" t="s">
        <v>3</v>
      </c>
      <c r="C2" s="21" t="s">
        <v>163</v>
      </c>
      <c r="D2" s="21" t="s">
        <v>5</v>
      </c>
    </row>
    <row r="3" customFormat="false" ht="15" hidden="false" customHeight="true" outlineLevel="0" collapsed="false">
      <c r="A3" s="1" t="s">
        <v>164</v>
      </c>
      <c r="B3" s="12" t="s">
        <v>165</v>
      </c>
      <c r="C3" s="22" t="s">
        <v>166</v>
      </c>
      <c r="D3" s="12" t="s">
        <v>167</v>
      </c>
    </row>
    <row r="4" customFormat="false" ht="15" hidden="false" customHeight="true" outlineLevel="0" collapsed="false">
      <c r="A4" s="1" t="s">
        <v>168</v>
      </c>
      <c r="B4" s="12" t="s">
        <v>169</v>
      </c>
      <c r="C4" s="23" t="s">
        <v>170</v>
      </c>
      <c r="D4" s="12" t="s">
        <v>171</v>
      </c>
    </row>
    <row r="5" customFormat="false" ht="15" hidden="false" customHeight="true" outlineLevel="0" collapsed="false">
      <c r="A5" s="1" t="s">
        <v>172</v>
      </c>
      <c r="B5" s="12" t="s">
        <v>173</v>
      </c>
      <c r="C5" s="24" t="s">
        <v>174</v>
      </c>
      <c r="D5" s="12" t="s">
        <v>175</v>
      </c>
    </row>
    <row r="6" customFormat="false" ht="15" hidden="false" customHeight="true" outlineLevel="0" collapsed="false">
      <c r="A6" s="1" t="s">
        <v>176</v>
      </c>
      <c r="B6" s="12" t="s">
        <v>177</v>
      </c>
      <c r="C6" s="25" t="s">
        <v>178</v>
      </c>
      <c r="D6" s="12" t="s">
        <v>179</v>
      </c>
    </row>
    <row r="7" customFormat="false" ht="15" hidden="false" customHeight="true" outlineLevel="0" collapsed="false">
      <c r="A7" s="1" t="s">
        <v>180</v>
      </c>
      <c r="B7" s="12" t="s">
        <v>181</v>
      </c>
      <c r="C7" s="26" t="s">
        <v>182</v>
      </c>
      <c r="D7" s="12" t="s">
        <v>183</v>
      </c>
    </row>
    <row r="8" customFormat="false" ht="15" hidden="false" customHeight="true" outlineLevel="0" collapsed="false">
      <c r="A8" s="1" t="s">
        <v>184</v>
      </c>
      <c r="B8" s="12" t="s">
        <v>185</v>
      </c>
      <c r="C8" s="27" t="s">
        <v>186</v>
      </c>
      <c r="D8" s="12" t="s">
        <v>187</v>
      </c>
    </row>
    <row r="9" customFormat="false" ht="15" hidden="false" customHeight="true" outlineLevel="0" collapsed="false">
      <c r="A9" s="1" t="s">
        <v>188</v>
      </c>
      <c r="B9" s="12" t="s">
        <v>189</v>
      </c>
      <c r="C9" s="28" t="s">
        <v>190</v>
      </c>
      <c r="D9" s="12" t="s">
        <v>191</v>
      </c>
    </row>
    <row r="10" customFormat="false" ht="15" hidden="false" customHeight="true" outlineLevel="0" collapsed="false">
      <c r="A10" s="1" t="s">
        <v>192</v>
      </c>
      <c r="B10" s="12" t="s">
        <v>193</v>
      </c>
      <c r="C10" s="29" t="s">
        <v>194</v>
      </c>
      <c r="D10" s="12" t="s">
        <v>195</v>
      </c>
    </row>
    <row r="11" customFormat="false" ht="15" hidden="false" customHeight="true" outlineLevel="0" collapsed="false">
      <c r="A11" s="1" t="s">
        <v>196</v>
      </c>
      <c r="B11" s="12" t="s">
        <v>197</v>
      </c>
      <c r="C11" s="30" t="s">
        <v>198</v>
      </c>
      <c r="D11" s="12" t="s">
        <v>199</v>
      </c>
    </row>
    <row r="12" customFormat="false" ht="15" hidden="false" customHeight="true" outlineLevel="0" collapsed="false">
      <c r="A12" s="1" t="s">
        <v>200</v>
      </c>
      <c r="B12" s="12" t="s">
        <v>201</v>
      </c>
      <c r="C12" s="31" t="s">
        <v>202</v>
      </c>
      <c r="D12" s="12" t="s">
        <v>203</v>
      </c>
    </row>
    <row r="13" customFormat="false" ht="15" hidden="false" customHeight="true" outlineLevel="0" collapsed="false">
      <c r="A13" s="1" t="s">
        <v>204</v>
      </c>
      <c r="B13" s="12" t="s">
        <v>205</v>
      </c>
      <c r="C13" s="32" t="s">
        <v>206</v>
      </c>
      <c r="D13" s="12" t="s">
        <v>207</v>
      </c>
    </row>
    <row r="14" customFormat="false" ht="15" hidden="false" customHeight="true" outlineLevel="0" collapsed="false">
      <c r="A14" s="1" t="s">
        <v>208</v>
      </c>
      <c r="B14" s="12" t="s">
        <v>209</v>
      </c>
      <c r="C14" s="33" t="s">
        <v>210</v>
      </c>
      <c r="D14" s="12" t="s">
        <v>211</v>
      </c>
    </row>
    <row r="15" customFormat="false" ht="15" hidden="false" customHeight="true" outlineLevel="0" collapsed="false">
      <c r="A15" s="1" t="s">
        <v>212</v>
      </c>
      <c r="B15" s="12" t="s">
        <v>213</v>
      </c>
      <c r="C15" s="34" t="s">
        <v>214</v>
      </c>
      <c r="D15" s="12" t="s">
        <v>215</v>
      </c>
    </row>
    <row r="16" customFormat="false" ht="15" hidden="false" customHeight="true" outlineLevel="0" collapsed="false">
      <c r="A16" s="1" t="s">
        <v>216</v>
      </c>
      <c r="B16" s="12" t="s">
        <v>217</v>
      </c>
      <c r="C16" s="35" t="s">
        <v>218</v>
      </c>
      <c r="D16" s="12" t="s">
        <v>219</v>
      </c>
    </row>
    <row r="17" customFormat="false" ht="15" hidden="false" customHeight="true" outlineLevel="0" collapsed="false">
      <c r="A17" s="1" t="s">
        <v>220</v>
      </c>
      <c r="B17" s="12" t="s">
        <v>221</v>
      </c>
      <c r="C17" s="36" t="s">
        <v>222</v>
      </c>
      <c r="D17" s="12" t="s">
        <v>223</v>
      </c>
    </row>
    <row r="18" customFormat="false" ht="15" hidden="false" customHeight="true" outlineLevel="0" collapsed="false">
      <c r="A18" s="1" t="s">
        <v>224</v>
      </c>
      <c r="B18" s="12" t="s">
        <v>225</v>
      </c>
      <c r="C18" s="37" t="s">
        <v>226</v>
      </c>
      <c r="D18" s="12" t="s">
        <v>227</v>
      </c>
    </row>
    <row r="19" customFormat="false" ht="15" hidden="false" customHeight="true" outlineLevel="0" collapsed="false">
      <c r="A19" s="1" t="s">
        <v>228</v>
      </c>
      <c r="B19" s="12" t="s">
        <v>229</v>
      </c>
      <c r="C19" s="38" t="s">
        <v>230</v>
      </c>
      <c r="D19" s="12" t="s">
        <v>231</v>
      </c>
    </row>
    <row r="20" customFormat="false" ht="15" hidden="false" customHeight="true" outlineLevel="0" collapsed="false">
      <c r="A20" s="1" t="s">
        <v>232</v>
      </c>
      <c r="B20" s="12" t="s">
        <v>233</v>
      </c>
      <c r="C20" s="39" t="s">
        <v>234</v>
      </c>
      <c r="D20" s="12" t="s">
        <v>235</v>
      </c>
    </row>
    <row r="21" customFormat="false" ht="15" hidden="false" customHeight="true" outlineLevel="0" collapsed="false">
      <c r="A21" s="1" t="s">
        <v>236</v>
      </c>
      <c r="B21" s="12" t="s">
        <v>237</v>
      </c>
      <c r="C21" s="40" t="s">
        <v>238</v>
      </c>
      <c r="D21" s="12" t="s">
        <v>239</v>
      </c>
    </row>
    <row r="22" customFormat="false" ht="15" hidden="false" customHeight="true" outlineLevel="0" collapsed="false">
      <c r="A22" s="1" t="s">
        <v>240</v>
      </c>
      <c r="B22" s="12" t="s">
        <v>241</v>
      </c>
      <c r="C22" s="41" t="s">
        <v>242</v>
      </c>
      <c r="D22" s="12" t="s">
        <v>243</v>
      </c>
    </row>
    <row r="23" customFormat="false" ht="15" hidden="false" customHeight="true" outlineLevel="0" collapsed="false">
      <c r="A23" s="1" t="s">
        <v>244</v>
      </c>
      <c r="B23" s="12" t="s">
        <v>245</v>
      </c>
      <c r="C23" s="42" t="s">
        <v>246</v>
      </c>
      <c r="D23" s="12" t="s">
        <v>247</v>
      </c>
    </row>
    <row r="24" customFormat="false" ht="15" hidden="false" customHeight="true" outlineLevel="0" collapsed="false">
      <c r="A24" s="1" t="s">
        <v>248</v>
      </c>
      <c r="B24" s="12" t="s">
        <v>249</v>
      </c>
      <c r="C24" s="43" t="s">
        <v>250</v>
      </c>
      <c r="D24" s="12" t="s">
        <v>251</v>
      </c>
    </row>
    <row r="25" customFormat="false" ht="15" hidden="false" customHeight="true" outlineLevel="0" collapsed="false">
      <c r="A25" s="1" t="s">
        <v>252</v>
      </c>
      <c r="B25" s="12" t="s">
        <v>253</v>
      </c>
      <c r="C25" s="44" t="s">
        <v>254</v>
      </c>
      <c r="D25" s="12" t="s">
        <v>255</v>
      </c>
    </row>
    <row r="26" customFormat="false" ht="15" hidden="false" customHeight="true" outlineLevel="0" collapsed="false">
      <c r="A26" s="1" t="s">
        <v>256</v>
      </c>
      <c r="B26" s="12" t="s">
        <v>257</v>
      </c>
      <c r="C26" s="45" t="s">
        <v>258</v>
      </c>
      <c r="D26" s="12" t="s">
        <v>259</v>
      </c>
    </row>
    <row r="27" customFormat="false" ht="15" hidden="false" customHeight="true" outlineLevel="0" collapsed="false">
      <c r="A27" s="1" t="s">
        <v>260</v>
      </c>
      <c r="B27" s="12" t="s">
        <v>261</v>
      </c>
      <c r="C27" s="46" t="s">
        <v>262</v>
      </c>
      <c r="D27" s="12" t="s">
        <v>263</v>
      </c>
    </row>
    <row r="28" customFormat="false" ht="15" hidden="false" customHeight="true" outlineLevel="0" collapsed="false">
      <c r="A28" s="1" t="s">
        <v>264</v>
      </c>
      <c r="B28" s="12" t="s">
        <v>265</v>
      </c>
      <c r="C28" s="47" t="s">
        <v>266</v>
      </c>
      <c r="D28" s="12" t="s">
        <v>267</v>
      </c>
    </row>
    <row r="29" customFormat="false" ht="15" hidden="false" customHeight="true" outlineLevel="0" collapsed="false">
      <c r="A29" s="1" t="s">
        <v>268</v>
      </c>
      <c r="B29" s="12" t="s">
        <v>269</v>
      </c>
      <c r="C29" s="25" t="s">
        <v>178</v>
      </c>
      <c r="D29" s="12" t="s">
        <v>270</v>
      </c>
    </row>
    <row r="30" customFormat="false" ht="15" hidden="false" customHeight="true" outlineLevel="0" collapsed="false">
      <c r="A30" s="1" t="s">
        <v>271</v>
      </c>
      <c r="B30" s="12" t="s">
        <v>272</v>
      </c>
      <c r="C30" s="48" t="s">
        <v>273</v>
      </c>
      <c r="D30" s="12" t="s">
        <v>274</v>
      </c>
    </row>
    <row r="31" customFormat="false" ht="15" hidden="false" customHeight="true" outlineLevel="0" collapsed="false">
      <c r="A31" s="1" t="s">
        <v>275</v>
      </c>
      <c r="B31" s="12" t="s">
        <v>276</v>
      </c>
      <c r="C31" s="49" t="s">
        <v>277</v>
      </c>
      <c r="D31" s="12" t="s">
        <v>278</v>
      </c>
    </row>
    <row r="32" customFormat="false" ht="15" hidden="false" customHeight="true" outlineLevel="0" collapsed="false">
      <c r="A32" s="1" t="s">
        <v>279</v>
      </c>
      <c r="B32" s="12" t="s">
        <v>280</v>
      </c>
      <c r="C32" s="50" t="s">
        <v>281</v>
      </c>
      <c r="D32" s="12" t="s">
        <v>282</v>
      </c>
    </row>
    <row r="33" customFormat="false" ht="15" hidden="false" customHeight="true" outlineLevel="0" collapsed="false">
      <c r="A33" s="1" t="s">
        <v>283</v>
      </c>
      <c r="B33" s="12" t="s">
        <v>284</v>
      </c>
      <c r="C33" s="51" t="s">
        <v>285</v>
      </c>
      <c r="D33" s="12" t="s">
        <v>286</v>
      </c>
    </row>
    <row r="34" customFormat="false" ht="15" hidden="false" customHeight="true" outlineLevel="0" collapsed="false">
      <c r="A34" s="1" t="s">
        <v>287</v>
      </c>
      <c r="B34" s="12" t="s">
        <v>288</v>
      </c>
      <c r="C34" s="52" t="s">
        <v>289</v>
      </c>
      <c r="D34" s="12" t="s">
        <v>290</v>
      </c>
    </row>
    <row r="35" customFormat="false" ht="15" hidden="false" customHeight="true" outlineLevel="0" collapsed="false">
      <c r="A35" s="1" t="s">
        <v>291</v>
      </c>
      <c r="B35" s="12" t="s">
        <v>292</v>
      </c>
      <c r="C35" s="53" t="s">
        <v>293</v>
      </c>
      <c r="D35" s="12" t="s">
        <v>294</v>
      </c>
    </row>
    <row r="36" customFormat="false" ht="15" hidden="false" customHeight="true" outlineLevel="0" collapsed="false">
      <c r="A36" s="1" t="s">
        <v>295</v>
      </c>
      <c r="B36" s="12" t="s">
        <v>296</v>
      </c>
      <c r="C36" s="26" t="s">
        <v>182</v>
      </c>
      <c r="D36" s="12" t="s">
        <v>297</v>
      </c>
    </row>
    <row r="37" customFormat="false" ht="15" hidden="false" customHeight="true" outlineLevel="0" collapsed="false">
      <c r="A37" s="1" t="s">
        <v>298</v>
      </c>
      <c r="B37" s="12" t="s">
        <v>299</v>
      </c>
      <c r="C37" s="54" t="s">
        <v>300</v>
      </c>
      <c r="D37" s="12" t="s">
        <v>301</v>
      </c>
    </row>
    <row r="38" customFormat="false" ht="15" hidden="false" customHeight="true" outlineLevel="0" collapsed="false">
      <c r="A38" s="1" t="s">
        <v>302</v>
      </c>
      <c r="B38" s="12" t="s">
        <v>303</v>
      </c>
      <c r="C38" s="55" t="s">
        <v>304</v>
      </c>
      <c r="D38" s="12" t="s">
        <v>305</v>
      </c>
    </row>
    <row r="39" customFormat="false" ht="15" hidden="false" customHeight="true" outlineLevel="0" collapsed="false">
      <c r="A39" s="1" t="s">
        <v>306</v>
      </c>
      <c r="B39" s="12" t="s">
        <v>307</v>
      </c>
      <c r="C39" s="22" t="s">
        <v>166</v>
      </c>
      <c r="D39" s="12" t="s">
        <v>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1"/>
  </cols>
  <sheetData>
    <row r="1" customFormat="false" ht="16.5" hidden="false" customHeight="true" outlineLevel="0" collapsed="false">
      <c r="A1" s="20" t="s">
        <v>309</v>
      </c>
    </row>
    <row r="3" customFormat="false" ht="16.5" hidden="false" customHeight="true" outlineLevel="0" collapsed="false">
      <c r="A3" s="21" t="s">
        <v>310</v>
      </c>
    </row>
    <row r="4" customFormat="false" ht="15" hidden="false" customHeight="true" outlineLevel="0" collapsed="false">
      <c r="A4" s="56" t="s">
        <v>185</v>
      </c>
      <c r="B4" s="56" t="s">
        <v>185</v>
      </c>
      <c r="C4" s="57" t="s">
        <v>189</v>
      </c>
      <c r="D4" s="57" t="s">
        <v>189</v>
      </c>
      <c r="E4" s="58" t="s">
        <v>177</v>
      </c>
      <c r="F4" s="58" t="s">
        <v>177</v>
      </c>
      <c r="G4" s="58" t="s">
        <v>177</v>
      </c>
      <c r="H4" s="58" t="s">
        <v>177</v>
      </c>
      <c r="I4" s="58" t="s">
        <v>177</v>
      </c>
      <c r="J4" s="58" t="s">
        <v>177</v>
      </c>
    </row>
    <row r="5" customFormat="false" ht="15" hidden="false" customHeight="true" outlineLevel="0" collapsed="false">
      <c r="A5" s="56" t="s">
        <v>185</v>
      </c>
      <c r="B5" s="57" t="s">
        <v>189</v>
      </c>
      <c r="C5" s="57" t="s">
        <v>189</v>
      </c>
      <c r="D5" s="57" t="s">
        <v>189</v>
      </c>
      <c r="E5" s="59" t="s">
        <v>197</v>
      </c>
      <c r="F5" s="59" t="s">
        <v>197</v>
      </c>
      <c r="G5" s="60" t="s">
        <v>165</v>
      </c>
      <c r="H5" s="60" t="s">
        <v>165</v>
      </c>
      <c r="I5" s="60" t="s">
        <v>165</v>
      </c>
      <c r="J5" s="58" t="s">
        <v>177</v>
      </c>
    </row>
    <row r="6" customFormat="false" ht="15" hidden="false" customHeight="true" outlineLevel="0" collapsed="false">
      <c r="A6" s="57" t="s">
        <v>189</v>
      </c>
      <c r="B6" s="57" t="s">
        <v>189</v>
      </c>
      <c r="C6" s="57" t="s">
        <v>189</v>
      </c>
      <c r="D6" s="57" t="s">
        <v>189</v>
      </c>
      <c r="E6" s="59" t="s">
        <v>197</v>
      </c>
      <c r="F6" s="60" t="s">
        <v>165</v>
      </c>
      <c r="G6" s="60" t="s">
        <v>165</v>
      </c>
      <c r="H6" s="60" t="s">
        <v>165</v>
      </c>
      <c r="I6" s="60" t="s">
        <v>165</v>
      </c>
      <c r="J6" s="60" t="s">
        <v>165</v>
      </c>
    </row>
    <row r="7" customFormat="false" ht="15" hidden="false" customHeight="true" outlineLevel="0" collapsed="false">
      <c r="A7" s="57" t="s">
        <v>189</v>
      </c>
      <c r="B7" s="57" t="s">
        <v>189</v>
      </c>
      <c r="C7" s="57" t="s">
        <v>189</v>
      </c>
      <c r="D7" s="57" t="s">
        <v>189</v>
      </c>
      <c r="E7" s="59" t="s">
        <v>197</v>
      </c>
      <c r="F7" s="60" t="s">
        <v>165</v>
      </c>
      <c r="G7" s="60" t="s">
        <v>165</v>
      </c>
      <c r="H7" s="60" t="s">
        <v>165</v>
      </c>
      <c r="I7" s="60" t="s">
        <v>165</v>
      </c>
      <c r="J7" s="60" t="s">
        <v>165</v>
      </c>
    </row>
    <row r="8" customFormat="false" ht="15" hidden="false" customHeight="true" outlineLevel="0" collapsed="false">
      <c r="A8" s="57" t="s">
        <v>189</v>
      </c>
      <c r="B8" s="57" t="s">
        <v>189</v>
      </c>
      <c r="C8" s="57" t="s">
        <v>189</v>
      </c>
      <c r="D8" s="57" t="s">
        <v>189</v>
      </c>
      <c r="E8" s="59" t="s">
        <v>197</v>
      </c>
      <c r="F8" s="60" t="s">
        <v>165</v>
      </c>
      <c r="G8" s="60" t="s">
        <v>165</v>
      </c>
      <c r="H8" s="56" t="s">
        <v>185</v>
      </c>
      <c r="I8" s="56" t="s">
        <v>185</v>
      </c>
      <c r="J8" s="56" t="s">
        <v>185</v>
      </c>
    </row>
    <row r="9" customFormat="false" ht="15" hidden="false" customHeight="true" outlineLevel="0" collapsed="false">
      <c r="A9" s="57" t="s">
        <v>189</v>
      </c>
      <c r="B9" s="57" t="s">
        <v>189</v>
      </c>
      <c r="C9" s="57" t="s">
        <v>189</v>
      </c>
      <c r="D9" s="59" t="s">
        <v>197</v>
      </c>
      <c r="E9" s="59" t="s">
        <v>197</v>
      </c>
      <c r="F9" s="60" t="s">
        <v>165</v>
      </c>
      <c r="G9" s="56" t="s">
        <v>185</v>
      </c>
      <c r="H9" s="56" t="s">
        <v>185</v>
      </c>
      <c r="I9" s="56" t="s">
        <v>185</v>
      </c>
      <c r="J9" s="56" t="s">
        <v>185</v>
      </c>
    </row>
    <row r="10" customFormat="false" ht="15" hidden="false" customHeight="true" outlineLevel="0" collapsed="false">
      <c r="A10" s="56" t="s">
        <v>185</v>
      </c>
      <c r="B10" s="56" t="s">
        <v>185</v>
      </c>
      <c r="C10" s="61" t="s">
        <v>193</v>
      </c>
      <c r="D10" s="59" t="s">
        <v>197</v>
      </c>
      <c r="E10" s="59" t="s">
        <v>197</v>
      </c>
      <c r="F10" s="59" t="s">
        <v>197</v>
      </c>
      <c r="G10" s="56" t="s">
        <v>185</v>
      </c>
      <c r="H10" s="56" t="s">
        <v>185</v>
      </c>
      <c r="I10" s="58" t="s">
        <v>177</v>
      </c>
      <c r="J10" s="56" t="s">
        <v>185</v>
      </c>
    </row>
    <row r="11" customFormat="false" ht="15" hidden="false" customHeight="true" outlineLevel="0" collapsed="false">
      <c r="A11" s="56" t="s">
        <v>185</v>
      </c>
      <c r="B11" s="61" t="s">
        <v>193</v>
      </c>
      <c r="C11" s="61" t="s">
        <v>193</v>
      </c>
      <c r="D11" s="59" t="s">
        <v>197</v>
      </c>
      <c r="E11" s="59" t="s">
        <v>197</v>
      </c>
      <c r="F11" s="62" t="s">
        <v>169</v>
      </c>
      <c r="G11" s="62" t="s">
        <v>169</v>
      </c>
      <c r="H11" s="62" t="s">
        <v>169</v>
      </c>
      <c r="I11" s="56" t="s">
        <v>185</v>
      </c>
      <c r="J11" s="56" t="s">
        <v>185</v>
      </c>
    </row>
    <row r="12" customFormat="false" ht="15" hidden="false" customHeight="true" outlineLevel="0" collapsed="false">
      <c r="A12" s="56" t="s">
        <v>185</v>
      </c>
      <c r="B12" s="61" t="s">
        <v>193</v>
      </c>
      <c r="C12" s="61" t="s">
        <v>193</v>
      </c>
      <c r="D12" s="61" t="s">
        <v>193</v>
      </c>
      <c r="E12" s="62" t="s">
        <v>169</v>
      </c>
      <c r="F12" s="62" t="s">
        <v>169</v>
      </c>
      <c r="G12" s="62" t="s">
        <v>169</v>
      </c>
      <c r="H12" s="62" t="s">
        <v>169</v>
      </c>
      <c r="I12" s="56" t="s">
        <v>185</v>
      </c>
      <c r="J12" s="56" t="s">
        <v>185</v>
      </c>
    </row>
    <row r="13" customFormat="false" ht="15" hidden="false" customHeight="true" outlineLevel="0" collapsed="false">
      <c r="A13" s="61" t="s">
        <v>193</v>
      </c>
      <c r="B13" s="61" t="s">
        <v>193</v>
      </c>
      <c r="C13" s="61" t="s">
        <v>193</v>
      </c>
      <c r="D13" s="61" t="s">
        <v>193</v>
      </c>
      <c r="E13" s="61" t="s">
        <v>193</v>
      </c>
      <c r="F13" s="61" t="s">
        <v>193</v>
      </c>
      <c r="G13" s="62" t="s">
        <v>169</v>
      </c>
      <c r="H13" s="62" t="s">
        <v>169</v>
      </c>
      <c r="I13" s="62" t="s">
        <v>169</v>
      </c>
      <c r="J13" s="56" t="s">
        <v>185</v>
      </c>
    </row>
    <row r="15" customFormat="false" ht="16.5" hidden="false" customHeight="true" outlineLevel="0" collapsed="false">
      <c r="A15" s="21" t="s">
        <v>311</v>
      </c>
    </row>
    <row r="16" customFormat="false" ht="15" hidden="false" customHeight="true" outlineLevel="0" collapsed="false">
      <c r="A16" s="60" t="s">
        <v>165</v>
      </c>
      <c r="B16" s="60" t="s">
        <v>165</v>
      </c>
      <c r="C16" s="59" t="s">
        <v>197</v>
      </c>
      <c r="D16" s="59" t="s">
        <v>197</v>
      </c>
      <c r="E16" s="59" t="s">
        <v>197</v>
      </c>
      <c r="F16" s="59" t="s">
        <v>197</v>
      </c>
      <c r="G16" s="59" t="s">
        <v>197</v>
      </c>
      <c r="H16" s="60" t="s">
        <v>165</v>
      </c>
      <c r="I16" s="60" t="s">
        <v>165</v>
      </c>
      <c r="J16" s="60" t="s">
        <v>165</v>
      </c>
    </row>
    <row r="17" customFormat="false" ht="15" hidden="false" customHeight="true" outlineLevel="0" collapsed="false">
      <c r="A17" s="60" t="s">
        <v>165</v>
      </c>
      <c r="B17" s="60" t="s">
        <v>165</v>
      </c>
      <c r="C17" s="60" t="s">
        <v>165</v>
      </c>
      <c r="D17" s="59" t="s">
        <v>197</v>
      </c>
      <c r="E17" s="59" t="s">
        <v>197</v>
      </c>
      <c r="F17" s="59" t="s">
        <v>197</v>
      </c>
      <c r="G17" s="59" t="s">
        <v>197</v>
      </c>
      <c r="H17" s="60" t="s">
        <v>165</v>
      </c>
      <c r="I17" s="60" t="s">
        <v>165</v>
      </c>
      <c r="J17" s="60" t="s">
        <v>165</v>
      </c>
    </row>
    <row r="18" customFormat="false" ht="15" hidden="false" customHeight="true" outlineLevel="0" collapsed="false">
      <c r="A18" s="60" t="s">
        <v>165</v>
      </c>
      <c r="B18" s="60" t="s">
        <v>165</v>
      </c>
      <c r="C18" s="60" t="s">
        <v>165</v>
      </c>
      <c r="D18" s="60" t="s">
        <v>165</v>
      </c>
      <c r="E18" s="59" t="s">
        <v>197</v>
      </c>
      <c r="F18" s="59" t="s">
        <v>197</v>
      </c>
      <c r="G18" s="60" t="s">
        <v>165</v>
      </c>
      <c r="H18" s="60" t="s">
        <v>165</v>
      </c>
      <c r="I18" s="60" t="s">
        <v>165</v>
      </c>
      <c r="J18" s="60" t="s">
        <v>165</v>
      </c>
    </row>
    <row r="19" customFormat="false" ht="15" hidden="false" customHeight="true" outlineLevel="0" collapsed="false">
      <c r="A19" s="58" t="s">
        <v>177</v>
      </c>
      <c r="B19" s="63" t="s">
        <v>173</v>
      </c>
      <c r="C19" s="63" t="s">
        <v>173</v>
      </c>
      <c r="D19" s="63" t="s">
        <v>173</v>
      </c>
      <c r="E19" s="63" t="s">
        <v>173</v>
      </c>
      <c r="F19" s="59" t="s">
        <v>197</v>
      </c>
      <c r="G19" s="59" t="s">
        <v>197</v>
      </c>
      <c r="H19" s="59" t="s">
        <v>197</v>
      </c>
      <c r="I19" s="60" t="s">
        <v>165</v>
      </c>
      <c r="J19" s="60" t="s">
        <v>165</v>
      </c>
    </row>
    <row r="20" customFormat="false" ht="15" hidden="false" customHeight="true" outlineLevel="0" collapsed="false">
      <c r="A20" s="58" t="s">
        <v>177</v>
      </c>
      <c r="B20" s="58" t="s">
        <v>177</v>
      </c>
      <c r="C20" s="63" t="s">
        <v>173</v>
      </c>
      <c r="D20" s="63" t="s">
        <v>173</v>
      </c>
      <c r="E20" s="63" t="s">
        <v>173</v>
      </c>
      <c r="F20" s="63" t="s">
        <v>173</v>
      </c>
      <c r="G20" s="62" t="s">
        <v>169</v>
      </c>
      <c r="H20" s="62" t="s">
        <v>169</v>
      </c>
      <c r="I20" s="62" t="s">
        <v>169</v>
      </c>
      <c r="J20" s="62" t="s">
        <v>169</v>
      </c>
    </row>
    <row r="21" customFormat="false" ht="15" hidden="false" customHeight="true" outlineLevel="0" collapsed="false">
      <c r="A21" s="58" t="s">
        <v>177</v>
      </c>
      <c r="B21" s="58" t="s">
        <v>177</v>
      </c>
      <c r="C21" s="58" t="s">
        <v>177</v>
      </c>
      <c r="D21" s="63" t="s">
        <v>173</v>
      </c>
      <c r="E21" s="63" t="s">
        <v>173</v>
      </c>
      <c r="F21" s="63" t="s">
        <v>173</v>
      </c>
      <c r="G21" s="60" t="s">
        <v>165</v>
      </c>
      <c r="H21" s="62" t="s">
        <v>169</v>
      </c>
      <c r="I21" s="62" t="s">
        <v>169</v>
      </c>
      <c r="J21" s="60" t="s">
        <v>165</v>
      </c>
    </row>
    <row r="22" customFormat="false" ht="15" hidden="false" customHeight="true" outlineLevel="0" collapsed="false">
      <c r="A22" s="58" t="s">
        <v>177</v>
      </c>
      <c r="B22" s="60" t="s">
        <v>165</v>
      </c>
      <c r="C22" s="58" t="s">
        <v>177</v>
      </c>
      <c r="D22" s="63" t="s">
        <v>173</v>
      </c>
      <c r="E22" s="60" t="s">
        <v>165</v>
      </c>
      <c r="F22" s="60" t="s">
        <v>165</v>
      </c>
      <c r="G22" s="62" t="s">
        <v>169</v>
      </c>
      <c r="H22" s="62" t="s">
        <v>169</v>
      </c>
      <c r="I22" s="62" t="s">
        <v>169</v>
      </c>
      <c r="J22" s="62" t="s">
        <v>169</v>
      </c>
    </row>
    <row r="23" customFormat="false" ht="15" hidden="false" customHeight="true" outlineLevel="0" collapsed="false">
      <c r="A23" s="64" t="s">
        <v>213</v>
      </c>
      <c r="B23" s="64" t="s">
        <v>213</v>
      </c>
      <c r="C23" s="64" t="s">
        <v>213</v>
      </c>
      <c r="D23" s="60" t="s">
        <v>165</v>
      </c>
      <c r="E23" s="60" t="s">
        <v>165</v>
      </c>
      <c r="F23" s="60" t="s">
        <v>165</v>
      </c>
      <c r="G23" s="62" t="s">
        <v>169</v>
      </c>
      <c r="H23" s="62" t="s">
        <v>169</v>
      </c>
      <c r="I23" s="62" t="s">
        <v>169</v>
      </c>
      <c r="J23" s="62" t="s">
        <v>169</v>
      </c>
    </row>
    <row r="24" customFormat="false" ht="15" hidden="false" customHeight="true" outlineLevel="0" collapsed="false">
      <c r="A24" s="64" t="s">
        <v>213</v>
      </c>
      <c r="B24" s="60" t="s">
        <v>165</v>
      </c>
      <c r="C24" s="60" t="s">
        <v>165</v>
      </c>
      <c r="D24" s="60" t="s">
        <v>165</v>
      </c>
      <c r="E24" s="60" t="s">
        <v>165</v>
      </c>
      <c r="F24" s="60" t="s">
        <v>165</v>
      </c>
      <c r="G24" s="62" t="s">
        <v>169</v>
      </c>
      <c r="H24" s="62" t="s">
        <v>169</v>
      </c>
      <c r="I24" s="62" t="s">
        <v>169</v>
      </c>
      <c r="J24" s="62" t="s">
        <v>169</v>
      </c>
    </row>
    <row r="25" customFormat="false" ht="15" hidden="false" customHeight="true" outlineLevel="0" collapsed="false">
      <c r="A25" s="64" t="s">
        <v>213</v>
      </c>
      <c r="B25" s="64" t="s">
        <v>213</v>
      </c>
      <c r="C25" s="60" t="s">
        <v>165</v>
      </c>
      <c r="D25" s="60" t="s">
        <v>165</v>
      </c>
      <c r="E25" s="60" t="s">
        <v>165</v>
      </c>
      <c r="F25" s="60" t="s">
        <v>165</v>
      </c>
      <c r="G25" s="60" t="s">
        <v>165</v>
      </c>
      <c r="H25" s="60" t="s">
        <v>165</v>
      </c>
      <c r="I25" s="62" t="s">
        <v>169</v>
      </c>
      <c r="J25" s="62" t="s">
        <v>169</v>
      </c>
    </row>
    <row r="27" customFormat="false" ht="16.5" hidden="false" customHeight="true" outlineLevel="0" collapsed="false">
      <c r="A27" s="21" t="s">
        <v>312</v>
      </c>
    </row>
    <row r="28" customFormat="false" ht="15" hidden="false" customHeight="true" outlineLevel="0" collapsed="false">
      <c r="A28" s="58" t="s">
        <v>177</v>
      </c>
      <c r="B28" s="58" t="s">
        <v>177</v>
      </c>
      <c r="C28" s="58" t="s">
        <v>177</v>
      </c>
      <c r="D28" s="65" t="s">
        <v>280</v>
      </c>
      <c r="E28" s="65" t="s">
        <v>280</v>
      </c>
      <c r="F28" s="65" t="s">
        <v>280</v>
      </c>
      <c r="G28" s="65" t="s">
        <v>280</v>
      </c>
      <c r="H28" s="66" t="s">
        <v>276</v>
      </c>
      <c r="I28" s="66" t="s">
        <v>276</v>
      </c>
      <c r="J28" s="66" t="s">
        <v>276</v>
      </c>
    </row>
    <row r="29" customFormat="false" ht="15" hidden="false" customHeight="true" outlineLevel="0" collapsed="false">
      <c r="A29" s="66" t="s">
        <v>276</v>
      </c>
      <c r="B29" s="58" t="s">
        <v>177</v>
      </c>
      <c r="C29" s="58" t="s">
        <v>177</v>
      </c>
      <c r="D29" s="58" t="s">
        <v>177</v>
      </c>
      <c r="E29" s="58" t="s">
        <v>177</v>
      </c>
      <c r="F29" s="65" t="s">
        <v>280</v>
      </c>
      <c r="G29" s="65" t="s">
        <v>280</v>
      </c>
      <c r="H29" s="65" t="s">
        <v>280</v>
      </c>
      <c r="I29" s="65" t="s">
        <v>280</v>
      </c>
      <c r="J29" s="65" t="s">
        <v>280</v>
      </c>
    </row>
    <row r="30" customFormat="false" ht="15" hidden="false" customHeight="true" outlineLevel="0" collapsed="false">
      <c r="A30" s="58" t="s">
        <v>177</v>
      </c>
      <c r="B30" s="58" t="s">
        <v>177</v>
      </c>
      <c r="C30" s="58" t="s">
        <v>177</v>
      </c>
      <c r="D30" s="58" t="s">
        <v>177</v>
      </c>
      <c r="E30" s="58" t="s">
        <v>177</v>
      </c>
      <c r="F30" s="65" t="s">
        <v>280</v>
      </c>
      <c r="G30" s="65" t="s">
        <v>280</v>
      </c>
      <c r="H30" s="65" t="s">
        <v>280</v>
      </c>
      <c r="I30" s="67" t="s">
        <v>272</v>
      </c>
      <c r="J30" s="67" t="s">
        <v>272</v>
      </c>
    </row>
    <row r="31" customFormat="false" ht="15" hidden="false" customHeight="true" outlineLevel="0" collapsed="false">
      <c r="A31" s="58" t="s">
        <v>177</v>
      </c>
      <c r="B31" s="58" t="s">
        <v>177</v>
      </c>
      <c r="C31" s="58" t="s">
        <v>177</v>
      </c>
      <c r="D31" s="58" t="s">
        <v>177</v>
      </c>
      <c r="E31" s="58" t="s">
        <v>177</v>
      </c>
      <c r="F31" s="58" t="s">
        <v>177</v>
      </c>
      <c r="G31" s="67" t="s">
        <v>272</v>
      </c>
      <c r="H31" s="67" t="s">
        <v>272</v>
      </c>
      <c r="I31" s="67" t="s">
        <v>272</v>
      </c>
      <c r="J31" s="67" t="s">
        <v>272</v>
      </c>
    </row>
    <row r="32" customFormat="false" ht="15" hidden="false" customHeight="true" outlineLevel="0" collapsed="false">
      <c r="A32" s="58" t="s">
        <v>177</v>
      </c>
      <c r="B32" s="58" t="s">
        <v>177</v>
      </c>
      <c r="C32" s="58" t="s">
        <v>177</v>
      </c>
      <c r="D32" s="58" t="s">
        <v>177</v>
      </c>
      <c r="E32" s="66" t="s">
        <v>276</v>
      </c>
      <c r="F32" s="66" t="s">
        <v>276</v>
      </c>
      <c r="G32" s="67" t="s">
        <v>272</v>
      </c>
      <c r="H32" s="67" t="s">
        <v>272</v>
      </c>
      <c r="I32" s="67" t="s">
        <v>272</v>
      </c>
      <c r="J32" s="67" t="s">
        <v>272</v>
      </c>
    </row>
    <row r="33" customFormat="false" ht="15" hidden="false" customHeight="true" outlineLevel="0" collapsed="false">
      <c r="A33" s="58" t="s">
        <v>177</v>
      </c>
      <c r="B33" s="58" t="s">
        <v>177</v>
      </c>
      <c r="C33" s="68" t="s">
        <v>205</v>
      </c>
      <c r="D33" s="68" t="s">
        <v>205</v>
      </c>
      <c r="E33" s="66" t="s">
        <v>276</v>
      </c>
      <c r="F33" s="66" t="s">
        <v>276</v>
      </c>
      <c r="G33" s="67" t="s">
        <v>272</v>
      </c>
      <c r="H33" s="67" t="s">
        <v>272</v>
      </c>
      <c r="I33" s="67" t="s">
        <v>272</v>
      </c>
      <c r="J33" s="67" t="s">
        <v>272</v>
      </c>
    </row>
    <row r="34" customFormat="false" ht="15" hidden="false" customHeight="true" outlineLevel="0" collapsed="false">
      <c r="A34" s="66" t="s">
        <v>276</v>
      </c>
      <c r="B34" s="68" t="s">
        <v>205</v>
      </c>
      <c r="C34" s="68" t="s">
        <v>205</v>
      </c>
      <c r="D34" s="68" t="s">
        <v>205</v>
      </c>
      <c r="E34" s="66" t="s">
        <v>276</v>
      </c>
      <c r="F34" s="66" t="s">
        <v>276</v>
      </c>
      <c r="G34" s="66" t="s">
        <v>276</v>
      </c>
      <c r="H34" s="67" t="s">
        <v>272</v>
      </c>
      <c r="I34" s="67" t="s">
        <v>272</v>
      </c>
      <c r="J34" s="67" t="s">
        <v>272</v>
      </c>
    </row>
    <row r="35" customFormat="false" ht="15" hidden="false" customHeight="true" outlineLevel="0" collapsed="false">
      <c r="A35" s="66" t="s">
        <v>276</v>
      </c>
      <c r="B35" s="66" t="s">
        <v>276</v>
      </c>
      <c r="C35" s="66" t="s">
        <v>276</v>
      </c>
      <c r="D35" s="68" t="s">
        <v>205</v>
      </c>
      <c r="E35" s="69" t="s">
        <v>181</v>
      </c>
      <c r="F35" s="69" t="s">
        <v>181</v>
      </c>
      <c r="G35" s="69" t="s">
        <v>181</v>
      </c>
      <c r="H35" s="67" t="s">
        <v>272</v>
      </c>
      <c r="I35" s="66" t="s">
        <v>276</v>
      </c>
      <c r="J35" s="66" t="s">
        <v>276</v>
      </c>
    </row>
    <row r="36" customFormat="false" ht="15" hidden="false" customHeight="true" outlineLevel="0" collapsed="false">
      <c r="A36" s="66" t="s">
        <v>276</v>
      </c>
      <c r="B36" s="66" t="s">
        <v>276</v>
      </c>
      <c r="C36" s="69" t="s">
        <v>181</v>
      </c>
      <c r="D36" s="66" t="s">
        <v>276</v>
      </c>
      <c r="E36" s="69" t="s">
        <v>181</v>
      </c>
      <c r="F36" s="69" t="s">
        <v>181</v>
      </c>
      <c r="G36" s="66" t="s">
        <v>276</v>
      </c>
      <c r="H36" s="66" t="s">
        <v>276</v>
      </c>
      <c r="I36" s="66" t="s">
        <v>276</v>
      </c>
      <c r="J36" s="66" t="s">
        <v>276</v>
      </c>
    </row>
    <row r="37" customFormat="false" ht="15" hidden="false" customHeight="true" outlineLevel="0" collapsed="false">
      <c r="A37" s="66" t="s">
        <v>276</v>
      </c>
      <c r="B37" s="69" t="s">
        <v>181</v>
      </c>
      <c r="C37" s="69" t="s">
        <v>181</v>
      </c>
      <c r="D37" s="69" t="s">
        <v>181</v>
      </c>
      <c r="E37" s="69" t="s">
        <v>181</v>
      </c>
      <c r="F37" s="66" t="s">
        <v>276</v>
      </c>
      <c r="G37" s="66" t="s">
        <v>276</v>
      </c>
      <c r="H37" s="66" t="s">
        <v>276</v>
      </c>
      <c r="I37" s="66" t="s">
        <v>276</v>
      </c>
      <c r="J37" s="66" t="s">
        <v>276</v>
      </c>
    </row>
    <row r="39" customFormat="false" ht="16.5" hidden="false" customHeight="true" outlineLevel="0" collapsed="false">
      <c r="A39" s="21" t="s">
        <v>313</v>
      </c>
    </row>
    <row r="40" customFormat="false" ht="15" hidden="false" customHeight="true" outlineLevel="0" collapsed="false">
      <c r="A40" s="70" t="s">
        <v>209</v>
      </c>
      <c r="B40" s="70" t="s">
        <v>209</v>
      </c>
      <c r="C40" s="70" t="s">
        <v>209</v>
      </c>
      <c r="D40" s="70" t="s">
        <v>209</v>
      </c>
      <c r="E40" s="70" t="s">
        <v>209</v>
      </c>
      <c r="F40" s="70" t="s">
        <v>209</v>
      </c>
      <c r="G40" s="70" t="s">
        <v>209</v>
      </c>
      <c r="H40" s="71" t="s">
        <v>201</v>
      </c>
      <c r="I40" s="71" t="s">
        <v>201</v>
      </c>
      <c r="J40" s="71" t="s">
        <v>201</v>
      </c>
    </row>
    <row r="41" customFormat="false" ht="15" hidden="false" customHeight="true" outlineLevel="0" collapsed="false">
      <c r="A41" s="70" t="s">
        <v>209</v>
      </c>
      <c r="B41" s="70" t="s">
        <v>209</v>
      </c>
      <c r="C41" s="70" t="s">
        <v>209</v>
      </c>
      <c r="D41" s="70" t="s">
        <v>209</v>
      </c>
      <c r="E41" s="70" t="s">
        <v>209</v>
      </c>
      <c r="F41" s="70" t="s">
        <v>209</v>
      </c>
      <c r="G41" s="70" t="s">
        <v>209</v>
      </c>
      <c r="H41" s="70" t="s">
        <v>209</v>
      </c>
      <c r="I41" s="71" t="s">
        <v>201</v>
      </c>
      <c r="J41" s="71" t="s">
        <v>201</v>
      </c>
    </row>
    <row r="42" customFormat="false" ht="15" hidden="false" customHeight="true" outlineLevel="0" collapsed="false">
      <c r="A42" s="71" t="s">
        <v>201</v>
      </c>
      <c r="B42" s="71" t="s">
        <v>201</v>
      </c>
      <c r="C42" s="71" t="s">
        <v>201</v>
      </c>
      <c r="D42" s="70" t="s">
        <v>209</v>
      </c>
      <c r="E42" s="71" t="s">
        <v>201</v>
      </c>
      <c r="F42" s="71" t="s">
        <v>201</v>
      </c>
      <c r="G42" s="70" t="s">
        <v>209</v>
      </c>
      <c r="H42" s="70" t="s">
        <v>209</v>
      </c>
      <c r="I42" s="70" t="s">
        <v>209</v>
      </c>
      <c r="J42" s="60" t="s">
        <v>165</v>
      </c>
    </row>
    <row r="43" customFormat="false" ht="15" hidden="false" customHeight="true" outlineLevel="0" collapsed="false">
      <c r="A43" s="71" t="s">
        <v>201</v>
      </c>
      <c r="B43" s="58" t="s">
        <v>177</v>
      </c>
      <c r="C43" s="70" t="s">
        <v>209</v>
      </c>
      <c r="D43" s="70" t="s">
        <v>209</v>
      </c>
      <c r="E43" s="64" t="s">
        <v>213</v>
      </c>
      <c r="F43" s="71" t="s">
        <v>201</v>
      </c>
      <c r="G43" s="60" t="s">
        <v>165</v>
      </c>
      <c r="H43" s="60" t="s">
        <v>165</v>
      </c>
      <c r="I43" s="60" t="s">
        <v>165</v>
      </c>
      <c r="J43" s="60" t="s">
        <v>165</v>
      </c>
    </row>
    <row r="44" customFormat="false" ht="15" hidden="false" customHeight="true" outlineLevel="0" collapsed="false">
      <c r="A44" s="58" t="s">
        <v>177</v>
      </c>
      <c r="B44" s="58" t="s">
        <v>177</v>
      </c>
      <c r="C44" s="64" t="s">
        <v>213</v>
      </c>
      <c r="D44" s="70" t="s">
        <v>209</v>
      </c>
      <c r="E44" s="64" t="s">
        <v>213</v>
      </c>
      <c r="F44" s="64" t="s">
        <v>213</v>
      </c>
      <c r="G44" s="60" t="s">
        <v>165</v>
      </c>
      <c r="H44" s="60" t="s">
        <v>165</v>
      </c>
      <c r="I44" s="60" t="s">
        <v>165</v>
      </c>
      <c r="J44" s="60" t="s">
        <v>165</v>
      </c>
    </row>
    <row r="45" customFormat="false" ht="15" hidden="false" customHeight="true" outlineLevel="0" collapsed="false">
      <c r="A45" s="58" t="s">
        <v>177</v>
      </c>
      <c r="B45" s="58" t="s">
        <v>177</v>
      </c>
      <c r="C45" s="64" t="s">
        <v>213</v>
      </c>
      <c r="D45" s="68" t="s">
        <v>205</v>
      </c>
      <c r="E45" s="64" t="s">
        <v>213</v>
      </c>
      <c r="F45" s="71" t="s">
        <v>201</v>
      </c>
      <c r="G45" s="71" t="s">
        <v>201</v>
      </c>
      <c r="H45" s="60" t="s">
        <v>165</v>
      </c>
      <c r="I45" s="60" t="s">
        <v>165</v>
      </c>
      <c r="J45" s="60" t="s">
        <v>165</v>
      </c>
    </row>
    <row r="46" customFormat="false" ht="15" hidden="false" customHeight="true" outlineLevel="0" collapsed="false">
      <c r="A46" s="58" t="s">
        <v>177</v>
      </c>
      <c r="B46" s="58" t="s">
        <v>177</v>
      </c>
      <c r="C46" s="68" t="s">
        <v>205</v>
      </c>
      <c r="D46" s="68" t="s">
        <v>205</v>
      </c>
      <c r="E46" s="64" t="s">
        <v>213</v>
      </c>
      <c r="F46" s="68" t="s">
        <v>205</v>
      </c>
      <c r="G46" s="60" t="s">
        <v>165</v>
      </c>
      <c r="H46" s="60" t="s">
        <v>165</v>
      </c>
      <c r="I46" s="60" t="s">
        <v>165</v>
      </c>
      <c r="J46" s="60" t="s">
        <v>165</v>
      </c>
    </row>
    <row r="47" customFormat="false" ht="15" hidden="false" customHeight="true" outlineLevel="0" collapsed="false">
      <c r="A47" s="58" t="s">
        <v>177</v>
      </c>
      <c r="B47" s="58" t="s">
        <v>177</v>
      </c>
      <c r="C47" s="68" t="s">
        <v>205</v>
      </c>
      <c r="D47" s="68" t="s">
        <v>205</v>
      </c>
      <c r="E47" s="64" t="s">
        <v>213</v>
      </c>
      <c r="F47" s="68" t="s">
        <v>205</v>
      </c>
      <c r="G47" s="71" t="s">
        <v>201</v>
      </c>
      <c r="H47" s="60" t="s">
        <v>165</v>
      </c>
      <c r="I47" s="71" t="s">
        <v>201</v>
      </c>
      <c r="J47" s="60" t="s">
        <v>165</v>
      </c>
    </row>
    <row r="48" customFormat="false" ht="15" hidden="false" customHeight="true" outlineLevel="0" collapsed="false">
      <c r="A48" s="58" t="s">
        <v>177</v>
      </c>
      <c r="B48" s="58" t="s">
        <v>177</v>
      </c>
      <c r="C48" s="68" t="s">
        <v>205</v>
      </c>
      <c r="D48" s="68" t="s">
        <v>205</v>
      </c>
      <c r="E48" s="68" t="s">
        <v>205</v>
      </c>
      <c r="F48" s="68" t="s">
        <v>205</v>
      </c>
      <c r="G48" s="68" t="s">
        <v>205</v>
      </c>
      <c r="H48" s="71" t="s">
        <v>201</v>
      </c>
      <c r="I48" s="71" t="s">
        <v>201</v>
      </c>
      <c r="J48" s="71" t="s">
        <v>201</v>
      </c>
    </row>
    <row r="49" customFormat="false" ht="15" hidden="false" customHeight="true" outlineLevel="0" collapsed="false">
      <c r="A49" s="58" t="s">
        <v>177</v>
      </c>
      <c r="B49" s="68" t="s">
        <v>205</v>
      </c>
      <c r="C49" s="68" t="s">
        <v>205</v>
      </c>
      <c r="D49" s="68" t="s">
        <v>205</v>
      </c>
      <c r="E49" s="68" t="s">
        <v>205</v>
      </c>
      <c r="F49" s="68" t="s">
        <v>205</v>
      </c>
      <c r="G49" s="68" t="s">
        <v>205</v>
      </c>
      <c r="H49" s="71" t="s">
        <v>201</v>
      </c>
      <c r="I49" s="71" t="s">
        <v>201</v>
      </c>
      <c r="J49" s="71" t="s">
        <v>201</v>
      </c>
    </row>
    <row r="51" customFormat="false" ht="16.5" hidden="false" customHeight="true" outlineLevel="0" collapsed="false">
      <c r="A51" s="21" t="s">
        <v>314</v>
      </c>
    </row>
    <row r="52" customFormat="false" ht="15" hidden="false" customHeight="true" outlineLevel="0" collapsed="false">
      <c r="A52" s="72" t="s">
        <v>237</v>
      </c>
      <c r="B52" s="72" t="s">
        <v>237</v>
      </c>
      <c r="C52" s="72" t="s">
        <v>237</v>
      </c>
      <c r="D52" s="72" t="s">
        <v>237</v>
      </c>
      <c r="E52" s="72" t="s">
        <v>237</v>
      </c>
      <c r="F52" s="72" t="s">
        <v>237</v>
      </c>
      <c r="G52" s="73" t="s">
        <v>241</v>
      </c>
      <c r="H52" s="73" t="s">
        <v>241</v>
      </c>
      <c r="I52" s="73" t="s">
        <v>241</v>
      </c>
      <c r="J52" s="73" t="s">
        <v>241</v>
      </c>
    </row>
    <row r="53" customFormat="false" ht="15" hidden="false" customHeight="true" outlineLevel="0" collapsed="false">
      <c r="A53" s="60" t="s">
        <v>165</v>
      </c>
      <c r="B53" s="60" t="s">
        <v>165</v>
      </c>
      <c r="C53" s="72" t="s">
        <v>237</v>
      </c>
      <c r="D53" s="72" t="s">
        <v>237</v>
      </c>
      <c r="E53" s="72" t="s">
        <v>237</v>
      </c>
      <c r="F53" s="72" t="s">
        <v>237</v>
      </c>
      <c r="G53" s="73" t="s">
        <v>241</v>
      </c>
      <c r="H53" s="73" t="s">
        <v>241</v>
      </c>
      <c r="I53" s="73" t="s">
        <v>241</v>
      </c>
      <c r="J53" s="73" t="s">
        <v>241</v>
      </c>
    </row>
    <row r="54" customFormat="false" ht="15" hidden="false" customHeight="true" outlineLevel="0" collapsed="false">
      <c r="A54" s="60" t="s">
        <v>165</v>
      </c>
      <c r="B54" s="60" t="s">
        <v>165</v>
      </c>
      <c r="C54" s="72" t="s">
        <v>237</v>
      </c>
      <c r="D54" s="72" t="s">
        <v>237</v>
      </c>
      <c r="E54" s="73" t="s">
        <v>241</v>
      </c>
      <c r="F54" s="73" t="s">
        <v>241</v>
      </c>
      <c r="G54" s="73" t="s">
        <v>241</v>
      </c>
      <c r="H54" s="73" t="s">
        <v>241</v>
      </c>
      <c r="I54" s="69" t="s">
        <v>181</v>
      </c>
      <c r="J54" s="73" t="s">
        <v>241</v>
      </c>
    </row>
    <row r="55" customFormat="false" ht="15" hidden="false" customHeight="true" outlineLevel="0" collapsed="false">
      <c r="A55" s="60" t="s">
        <v>165</v>
      </c>
      <c r="B55" s="60" t="s">
        <v>165</v>
      </c>
      <c r="C55" s="74" t="s">
        <v>233</v>
      </c>
      <c r="D55" s="73" t="s">
        <v>241</v>
      </c>
      <c r="E55" s="73" t="s">
        <v>241</v>
      </c>
      <c r="F55" s="58" t="s">
        <v>177</v>
      </c>
      <c r="G55" s="73" t="s">
        <v>241</v>
      </c>
      <c r="H55" s="73" t="s">
        <v>241</v>
      </c>
      <c r="I55" s="69" t="s">
        <v>181</v>
      </c>
      <c r="J55" s="73" t="s">
        <v>241</v>
      </c>
    </row>
    <row r="56" customFormat="false" ht="15" hidden="false" customHeight="true" outlineLevel="0" collapsed="false">
      <c r="A56" s="74" t="s">
        <v>233</v>
      </c>
      <c r="B56" s="74" t="s">
        <v>233</v>
      </c>
      <c r="C56" s="74" t="s">
        <v>233</v>
      </c>
      <c r="D56" s="74" t="s">
        <v>233</v>
      </c>
      <c r="E56" s="73" t="s">
        <v>241</v>
      </c>
      <c r="F56" s="58" t="s">
        <v>177</v>
      </c>
      <c r="G56" s="58" t="s">
        <v>177</v>
      </c>
      <c r="H56" s="69" t="s">
        <v>181</v>
      </c>
      <c r="I56" s="69" t="s">
        <v>181</v>
      </c>
      <c r="J56" s="69" t="s">
        <v>181</v>
      </c>
    </row>
    <row r="57" customFormat="false" ht="15" hidden="false" customHeight="true" outlineLevel="0" collapsed="false">
      <c r="A57" s="74" t="s">
        <v>233</v>
      </c>
      <c r="B57" s="74" t="s">
        <v>233</v>
      </c>
      <c r="C57" s="74" t="s">
        <v>233</v>
      </c>
      <c r="D57" s="74" t="s">
        <v>233</v>
      </c>
      <c r="E57" s="73" t="s">
        <v>241</v>
      </c>
      <c r="F57" s="58" t="s">
        <v>177</v>
      </c>
      <c r="G57" s="58" t="s">
        <v>177</v>
      </c>
      <c r="H57" s="69" t="s">
        <v>181</v>
      </c>
      <c r="I57" s="69" t="s">
        <v>181</v>
      </c>
      <c r="J57" s="69" t="s">
        <v>181</v>
      </c>
    </row>
    <row r="58" customFormat="false" ht="15" hidden="false" customHeight="true" outlineLevel="0" collapsed="false">
      <c r="A58" s="74" t="s">
        <v>233</v>
      </c>
      <c r="B58" s="74" t="s">
        <v>233</v>
      </c>
      <c r="C58" s="74" t="s">
        <v>233</v>
      </c>
      <c r="D58" s="74" t="s">
        <v>233</v>
      </c>
      <c r="E58" s="73" t="s">
        <v>241</v>
      </c>
      <c r="F58" s="58" t="s">
        <v>177</v>
      </c>
      <c r="G58" s="58" t="s">
        <v>177</v>
      </c>
      <c r="H58" s="69" t="s">
        <v>181</v>
      </c>
      <c r="I58" s="69" t="s">
        <v>181</v>
      </c>
      <c r="J58" s="69" t="s">
        <v>181</v>
      </c>
    </row>
    <row r="59" customFormat="false" ht="15" hidden="false" customHeight="true" outlineLevel="0" collapsed="false">
      <c r="A59" s="73" t="s">
        <v>241</v>
      </c>
      <c r="B59" s="73" t="s">
        <v>241</v>
      </c>
      <c r="C59" s="74" t="s">
        <v>233</v>
      </c>
      <c r="D59" s="74" t="s">
        <v>233</v>
      </c>
      <c r="E59" s="58" t="s">
        <v>177</v>
      </c>
      <c r="F59" s="58" t="s">
        <v>177</v>
      </c>
      <c r="G59" s="58" t="s">
        <v>177</v>
      </c>
      <c r="H59" s="58" t="s">
        <v>177</v>
      </c>
      <c r="I59" s="58" t="s">
        <v>177</v>
      </c>
      <c r="J59" s="69" t="s">
        <v>181</v>
      </c>
    </row>
    <row r="60" customFormat="false" ht="15" hidden="false" customHeight="true" outlineLevel="0" collapsed="false">
      <c r="A60" s="73" t="s">
        <v>241</v>
      </c>
      <c r="B60" s="74" t="s">
        <v>233</v>
      </c>
      <c r="C60" s="74" t="s">
        <v>233</v>
      </c>
      <c r="D60" s="74" t="s">
        <v>233</v>
      </c>
      <c r="E60" s="58" t="s">
        <v>177</v>
      </c>
      <c r="F60" s="58" t="s">
        <v>177</v>
      </c>
      <c r="G60" s="58" t="s">
        <v>177</v>
      </c>
      <c r="H60" s="58" t="s">
        <v>177</v>
      </c>
      <c r="I60" s="60" t="s">
        <v>165</v>
      </c>
      <c r="J60" s="73" t="s">
        <v>241</v>
      </c>
    </row>
    <row r="61" customFormat="false" ht="15" hidden="false" customHeight="true" outlineLevel="0" collapsed="false">
      <c r="A61" s="74" t="s">
        <v>233</v>
      </c>
      <c r="B61" s="74" t="s">
        <v>233</v>
      </c>
      <c r="C61" s="74" t="s">
        <v>233</v>
      </c>
      <c r="D61" s="74" t="s">
        <v>233</v>
      </c>
      <c r="E61" s="58" t="s">
        <v>177</v>
      </c>
      <c r="F61" s="58" t="s">
        <v>177</v>
      </c>
      <c r="G61" s="73" t="s">
        <v>241</v>
      </c>
      <c r="H61" s="60" t="s">
        <v>165</v>
      </c>
      <c r="I61" s="60" t="s">
        <v>165</v>
      </c>
      <c r="J61" s="60" t="s">
        <v>165</v>
      </c>
    </row>
    <row r="63" customFormat="false" ht="16.5" hidden="false" customHeight="true" outlineLevel="0" collapsed="false">
      <c r="A63" s="21" t="s">
        <v>315</v>
      </c>
    </row>
    <row r="64" customFormat="false" ht="15" hidden="false" customHeight="true" outlineLevel="0" collapsed="false">
      <c r="A64" s="75" t="s">
        <v>245</v>
      </c>
      <c r="B64" s="76" t="s">
        <v>249</v>
      </c>
      <c r="C64" s="76" t="s">
        <v>249</v>
      </c>
      <c r="D64" s="76" t="s">
        <v>249</v>
      </c>
      <c r="E64" s="76" t="s">
        <v>249</v>
      </c>
      <c r="F64" s="76" t="s">
        <v>249</v>
      </c>
      <c r="G64" s="75" t="s">
        <v>245</v>
      </c>
      <c r="H64" s="75" t="s">
        <v>245</v>
      </c>
      <c r="I64" s="75" t="s">
        <v>245</v>
      </c>
      <c r="J64" s="75" t="s">
        <v>245</v>
      </c>
    </row>
    <row r="65" customFormat="false" ht="15" hidden="false" customHeight="true" outlineLevel="0" collapsed="false">
      <c r="A65" s="75" t="s">
        <v>245</v>
      </c>
      <c r="B65" s="76" t="s">
        <v>249</v>
      </c>
      <c r="C65" s="76" t="s">
        <v>249</v>
      </c>
      <c r="D65" s="76" t="s">
        <v>249</v>
      </c>
      <c r="E65" s="76" t="s">
        <v>249</v>
      </c>
      <c r="F65" s="76" t="s">
        <v>249</v>
      </c>
      <c r="G65" s="76" t="s">
        <v>249</v>
      </c>
      <c r="H65" s="76" t="s">
        <v>249</v>
      </c>
      <c r="I65" s="76" t="s">
        <v>249</v>
      </c>
      <c r="J65" s="62" t="s">
        <v>169</v>
      </c>
    </row>
    <row r="66" customFormat="false" ht="15" hidden="false" customHeight="true" outlineLevel="0" collapsed="false">
      <c r="A66" s="75" t="s">
        <v>245</v>
      </c>
      <c r="B66" s="76" t="s">
        <v>249</v>
      </c>
      <c r="C66" s="76" t="s">
        <v>249</v>
      </c>
      <c r="D66" s="75" t="s">
        <v>245</v>
      </c>
      <c r="E66" s="76" t="s">
        <v>249</v>
      </c>
      <c r="F66" s="76" t="s">
        <v>249</v>
      </c>
      <c r="G66" s="58" t="s">
        <v>177</v>
      </c>
      <c r="H66" s="76" t="s">
        <v>249</v>
      </c>
      <c r="I66" s="75" t="s">
        <v>245</v>
      </c>
      <c r="J66" s="62" t="s">
        <v>169</v>
      </c>
    </row>
    <row r="67" customFormat="false" ht="15" hidden="false" customHeight="true" outlineLevel="0" collapsed="false">
      <c r="A67" s="75" t="s">
        <v>245</v>
      </c>
      <c r="B67" s="75" t="s">
        <v>245</v>
      </c>
      <c r="C67" s="75" t="s">
        <v>245</v>
      </c>
      <c r="D67" s="75" t="s">
        <v>245</v>
      </c>
      <c r="E67" s="58" t="s">
        <v>177</v>
      </c>
      <c r="F67" s="58" t="s">
        <v>177</v>
      </c>
      <c r="G67" s="58" t="s">
        <v>177</v>
      </c>
      <c r="H67" s="58" t="s">
        <v>177</v>
      </c>
      <c r="I67" s="75" t="s">
        <v>245</v>
      </c>
      <c r="J67" s="62" t="s">
        <v>169</v>
      </c>
    </row>
    <row r="68" customFormat="false" ht="15" hidden="false" customHeight="true" outlineLevel="0" collapsed="false">
      <c r="A68" s="75" t="s">
        <v>245</v>
      </c>
      <c r="B68" s="75" t="s">
        <v>245</v>
      </c>
      <c r="C68" s="75" t="s">
        <v>245</v>
      </c>
      <c r="D68" s="75" t="s">
        <v>245</v>
      </c>
      <c r="E68" s="58" t="s">
        <v>177</v>
      </c>
      <c r="F68" s="58" t="s">
        <v>177</v>
      </c>
      <c r="G68" s="58" t="s">
        <v>177</v>
      </c>
      <c r="H68" s="75" t="s">
        <v>245</v>
      </c>
      <c r="I68" s="75" t="s">
        <v>245</v>
      </c>
      <c r="J68" s="75" t="s">
        <v>245</v>
      </c>
    </row>
    <row r="69" customFormat="false" ht="15" hidden="false" customHeight="true" outlineLevel="0" collapsed="false">
      <c r="A69" s="63" t="s">
        <v>173</v>
      </c>
      <c r="B69" s="63" t="s">
        <v>173</v>
      </c>
      <c r="C69" s="75" t="s">
        <v>245</v>
      </c>
      <c r="D69" s="75" t="s">
        <v>245</v>
      </c>
      <c r="E69" s="63" t="s">
        <v>173</v>
      </c>
      <c r="F69" s="58" t="s">
        <v>177</v>
      </c>
      <c r="G69" s="75" t="s">
        <v>245</v>
      </c>
      <c r="H69" s="75" t="s">
        <v>245</v>
      </c>
      <c r="I69" s="75" t="s">
        <v>245</v>
      </c>
      <c r="J69" s="77" t="s">
        <v>253</v>
      </c>
    </row>
    <row r="70" customFormat="false" ht="15" hidden="false" customHeight="true" outlineLevel="0" collapsed="false">
      <c r="A70" s="63" t="s">
        <v>173</v>
      </c>
      <c r="B70" s="63" t="s">
        <v>173</v>
      </c>
      <c r="C70" s="63" t="s">
        <v>173</v>
      </c>
      <c r="D70" s="63" t="s">
        <v>173</v>
      </c>
      <c r="E70" s="63" t="s">
        <v>173</v>
      </c>
      <c r="F70" s="58" t="s">
        <v>177</v>
      </c>
      <c r="G70" s="77" t="s">
        <v>253</v>
      </c>
      <c r="H70" s="77" t="s">
        <v>253</v>
      </c>
      <c r="I70" s="75" t="s">
        <v>245</v>
      </c>
      <c r="J70" s="77" t="s">
        <v>253</v>
      </c>
    </row>
    <row r="71" customFormat="false" ht="15" hidden="false" customHeight="true" outlineLevel="0" collapsed="false">
      <c r="A71" s="63" t="s">
        <v>173</v>
      </c>
      <c r="B71" s="63" t="s">
        <v>173</v>
      </c>
      <c r="C71" s="63" t="s">
        <v>173</v>
      </c>
      <c r="D71" s="63" t="s">
        <v>173</v>
      </c>
      <c r="E71" s="63" t="s">
        <v>173</v>
      </c>
      <c r="F71" s="75" t="s">
        <v>245</v>
      </c>
      <c r="G71" s="77" t="s">
        <v>253</v>
      </c>
      <c r="H71" s="77" t="s">
        <v>253</v>
      </c>
      <c r="I71" s="77" t="s">
        <v>253</v>
      </c>
      <c r="J71" s="77" t="s">
        <v>253</v>
      </c>
    </row>
    <row r="72" customFormat="false" ht="15" hidden="false" customHeight="true" outlineLevel="0" collapsed="false">
      <c r="A72" s="63" t="s">
        <v>173</v>
      </c>
      <c r="B72" s="63" t="s">
        <v>173</v>
      </c>
      <c r="C72" s="63" t="s">
        <v>173</v>
      </c>
      <c r="D72" s="63" t="s">
        <v>173</v>
      </c>
      <c r="E72" s="63" t="s">
        <v>173</v>
      </c>
      <c r="F72" s="63" t="s">
        <v>173</v>
      </c>
      <c r="G72" s="62" t="s">
        <v>169</v>
      </c>
      <c r="H72" s="77" t="s">
        <v>253</v>
      </c>
      <c r="I72" s="77" t="s">
        <v>253</v>
      </c>
      <c r="J72" s="77" t="s">
        <v>253</v>
      </c>
    </row>
    <row r="73" customFormat="false" ht="15" hidden="false" customHeight="true" outlineLevel="0" collapsed="false">
      <c r="A73" s="63" t="s">
        <v>173</v>
      </c>
      <c r="B73" s="63" t="s">
        <v>173</v>
      </c>
      <c r="C73" s="63" t="s">
        <v>173</v>
      </c>
      <c r="D73" s="63" t="s">
        <v>173</v>
      </c>
      <c r="E73" s="63" t="s">
        <v>173</v>
      </c>
      <c r="F73" s="62" t="s">
        <v>169</v>
      </c>
      <c r="G73" s="62" t="s">
        <v>169</v>
      </c>
      <c r="H73" s="77" t="s">
        <v>253</v>
      </c>
      <c r="I73" s="77" t="s">
        <v>253</v>
      </c>
      <c r="J73" s="77" t="s">
        <v>253</v>
      </c>
    </row>
    <row r="75" customFormat="false" ht="16.5" hidden="false" customHeight="true" outlineLevel="0" collapsed="false">
      <c r="A75" s="21" t="s">
        <v>316</v>
      </c>
    </row>
    <row r="76" customFormat="false" ht="15" hidden="false" customHeight="true" outlineLevel="0" collapsed="false">
      <c r="A76" s="78" t="s">
        <v>225</v>
      </c>
      <c r="B76" s="78" t="s">
        <v>225</v>
      </c>
      <c r="C76" s="78" t="s">
        <v>225</v>
      </c>
      <c r="D76" s="78" t="s">
        <v>225</v>
      </c>
      <c r="E76" s="78" t="s">
        <v>225</v>
      </c>
      <c r="F76" s="64" t="s">
        <v>213</v>
      </c>
      <c r="G76" s="64" t="s">
        <v>213</v>
      </c>
      <c r="H76" s="64" t="s">
        <v>213</v>
      </c>
      <c r="I76" s="64" t="s">
        <v>213</v>
      </c>
      <c r="J76" s="64" t="s">
        <v>213</v>
      </c>
    </row>
    <row r="77" customFormat="false" ht="15" hidden="false" customHeight="true" outlineLevel="0" collapsed="false">
      <c r="A77" s="78" t="s">
        <v>225</v>
      </c>
      <c r="B77" s="78" t="s">
        <v>225</v>
      </c>
      <c r="C77" s="78" t="s">
        <v>225</v>
      </c>
      <c r="D77" s="64" t="s">
        <v>213</v>
      </c>
      <c r="E77" s="64" t="s">
        <v>213</v>
      </c>
      <c r="F77" s="64" t="s">
        <v>213</v>
      </c>
      <c r="G77" s="64" t="s">
        <v>213</v>
      </c>
      <c r="H77" s="64" t="s">
        <v>213</v>
      </c>
      <c r="I77" s="64" t="s">
        <v>213</v>
      </c>
      <c r="J77" s="64" t="s">
        <v>213</v>
      </c>
    </row>
    <row r="78" customFormat="false" ht="15" hidden="false" customHeight="true" outlineLevel="0" collapsed="false">
      <c r="A78" s="78" t="s">
        <v>225</v>
      </c>
      <c r="B78" s="78" t="s">
        <v>225</v>
      </c>
      <c r="C78" s="79" t="s">
        <v>221</v>
      </c>
      <c r="D78" s="64" t="s">
        <v>213</v>
      </c>
      <c r="E78" s="64" t="s">
        <v>213</v>
      </c>
      <c r="F78" s="80" t="s">
        <v>229</v>
      </c>
      <c r="G78" s="64" t="s">
        <v>213</v>
      </c>
      <c r="H78" s="64" t="s">
        <v>213</v>
      </c>
      <c r="I78" s="64" t="s">
        <v>213</v>
      </c>
      <c r="J78" s="64" t="s">
        <v>213</v>
      </c>
    </row>
    <row r="79" customFormat="false" ht="15" hidden="false" customHeight="true" outlineLevel="0" collapsed="false">
      <c r="A79" s="78" t="s">
        <v>225</v>
      </c>
      <c r="B79" s="78" t="s">
        <v>225</v>
      </c>
      <c r="C79" s="79" t="s">
        <v>221</v>
      </c>
      <c r="D79" s="80" t="s">
        <v>229</v>
      </c>
      <c r="E79" s="80" t="s">
        <v>229</v>
      </c>
      <c r="F79" s="80" t="s">
        <v>229</v>
      </c>
      <c r="G79" s="81" t="s">
        <v>217</v>
      </c>
      <c r="H79" s="81" t="s">
        <v>217</v>
      </c>
      <c r="I79" s="81" t="s">
        <v>217</v>
      </c>
      <c r="J79" s="81" t="s">
        <v>217</v>
      </c>
    </row>
    <row r="80" customFormat="false" ht="15" hidden="false" customHeight="true" outlineLevel="0" collapsed="false">
      <c r="A80" s="78" t="s">
        <v>225</v>
      </c>
      <c r="B80" s="78" t="s">
        <v>225</v>
      </c>
      <c r="C80" s="79" t="s">
        <v>221</v>
      </c>
      <c r="D80" s="80" t="s">
        <v>229</v>
      </c>
      <c r="E80" s="80" t="s">
        <v>229</v>
      </c>
      <c r="F80" s="81" t="s">
        <v>217</v>
      </c>
      <c r="G80" s="81" t="s">
        <v>217</v>
      </c>
      <c r="H80" s="81" t="s">
        <v>217</v>
      </c>
      <c r="I80" s="81" t="s">
        <v>217</v>
      </c>
      <c r="J80" s="81" t="s">
        <v>217</v>
      </c>
    </row>
    <row r="81" customFormat="false" ht="15" hidden="false" customHeight="true" outlineLevel="0" collapsed="false">
      <c r="A81" s="78" t="s">
        <v>225</v>
      </c>
      <c r="B81" s="79" t="s">
        <v>221</v>
      </c>
      <c r="C81" s="79" t="s">
        <v>221</v>
      </c>
      <c r="D81" s="80" t="s">
        <v>229</v>
      </c>
      <c r="E81" s="80" t="s">
        <v>229</v>
      </c>
      <c r="F81" s="81" t="s">
        <v>217</v>
      </c>
      <c r="G81" s="81" t="s">
        <v>217</v>
      </c>
      <c r="H81" s="81" t="s">
        <v>217</v>
      </c>
      <c r="I81" s="81" t="s">
        <v>217</v>
      </c>
      <c r="J81" s="81" t="s">
        <v>217</v>
      </c>
    </row>
    <row r="82" customFormat="false" ht="15" hidden="false" customHeight="true" outlineLevel="0" collapsed="false">
      <c r="A82" s="78" t="s">
        <v>225</v>
      </c>
      <c r="B82" s="79" t="s">
        <v>221</v>
      </c>
      <c r="C82" s="79" t="s">
        <v>221</v>
      </c>
      <c r="D82" s="80" t="s">
        <v>229</v>
      </c>
      <c r="E82" s="80" t="s">
        <v>229</v>
      </c>
      <c r="F82" s="81" t="s">
        <v>217</v>
      </c>
      <c r="G82" s="81" t="s">
        <v>217</v>
      </c>
      <c r="H82" s="81" t="s">
        <v>217</v>
      </c>
      <c r="I82" s="81" t="s">
        <v>217</v>
      </c>
      <c r="J82" s="64" t="s">
        <v>213</v>
      </c>
    </row>
    <row r="83" customFormat="false" ht="15" hidden="false" customHeight="true" outlineLevel="0" collapsed="false">
      <c r="A83" s="79" t="s">
        <v>221</v>
      </c>
      <c r="B83" s="79" t="s">
        <v>221</v>
      </c>
      <c r="C83" s="79" t="s">
        <v>221</v>
      </c>
      <c r="D83" s="79" t="s">
        <v>221</v>
      </c>
      <c r="E83" s="80" t="s">
        <v>229</v>
      </c>
      <c r="F83" s="64" t="s">
        <v>213</v>
      </c>
      <c r="G83" s="64" t="s">
        <v>213</v>
      </c>
      <c r="H83" s="61" t="s">
        <v>193</v>
      </c>
      <c r="I83" s="81" t="s">
        <v>217</v>
      </c>
      <c r="J83" s="81" t="s">
        <v>217</v>
      </c>
    </row>
    <row r="84" customFormat="false" ht="15" hidden="false" customHeight="true" outlineLevel="0" collapsed="false">
      <c r="A84" s="79" t="s">
        <v>221</v>
      </c>
      <c r="B84" s="79" t="s">
        <v>221</v>
      </c>
      <c r="C84" s="79" t="s">
        <v>221</v>
      </c>
      <c r="D84" s="64" t="s">
        <v>213</v>
      </c>
      <c r="E84" s="80" t="s">
        <v>229</v>
      </c>
      <c r="F84" s="64" t="s">
        <v>213</v>
      </c>
      <c r="G84" s="61" t="s">
        <v>193</v>
      </c>
      <c r="H84" s="61" t="s">
        <v>193</v>
      </c>
      <c r="I84" s="61" t="s">
        <v>193</v>
      </c>
      <c r="J84" s="61" t="s">
        <v>193</v>
      </c>
    </row>
    <row r="85" customFormat="false" ht="15" hidden="false" customHeight="true" outlineLevel="0" collapsed="false">
      <c r="A85" s="79" t="s">
        <v>221</v>
      </c>
      <c r="B85" s="79" t="s">
        <v>221</v>
      </c>
      <c r="C85" s="79" t="s">
        <v>221</v>
      </c>
      <c r="D85" s="79" t="s">
        <v>221</v>
      </c>
      <c r="E85" s="64" t="s">
        <v>213</v>
      </c>
      <c r="F85" s="61" t="s">
        <v>193</v>
      </c>
      <c r="G85" s="61" t="s">
        <v>193</v>
      </c>
      <c r="H85" s="61" t="s">
        <v>193</v>
      </c>
      <c r="I85" s="61" t="s">
        <v>193</v>
      </c>
      <c r="J85" s="61" t="s">
        <v>193</v>
      </c>
    </row>
    <row r="87" customFormat="false" ht="16.5" hidden="false" customHeight="true" outlineLevel="0" collapsed="false">
      <c r="A87" s="21" t="s">
        <v>317</v>
      </c>
    </row>
    <row r="88" customFormat="false" ht="15" hidden="false" customHeight="true" outlineLevel="0" collapsed="false">
      <c r="A88" s="82" t="s">
        <v>257</v>
      </c>
      <c r="B88" s="82" t="s">
        <v>257</v>
      </c>
      <c r="C88" s="82" t="s">
        <v>257</v>
      </c>
      <c r="D88" s="58" t="s">
        <v>177</v>
      </c>
      <c r="E88" s="58" t="s">
        <v>177</v>
      </c>
      <c r="F88" s="58" t="s">
        <v>177</v>
      </c>
      <c r="G88" s="82" t="s">
        <v>257</v>
      </c>
      <c r="H88" s="60" t="s">
        <v>165</v>
      </c>
      <c r="I88" s="82" t="s">
        <v>257</v>
      </c>
      <c r="J88" s="82" t="s">
        <v>257</v>
      </c>
    </row>
    <row r="89" customFormat="false" ht="15" hidden="false" customHeight="true" outlineLevel="0" collapsed="false">
      <c r="A89" s="82" t="s">
        <v>257</v>
      </c>
      <c r="B89" s="58" t="s">
        <v>177</v>
      </c>
      <c r="C89" s="58" t="s">
        <v>177</v>
      </c>
      <c r="D89" s="58" t="s">
        <v>177</v>
      </c>
      <c r="E89" s="58" t="s">
        <v>177</v>
      </c>
      <c r="F89" s="58" t="s">
        <v>177</v>
      </c>
      <c r="G89" s="82" t="s">
        <v>257</v>
      </c>
      <c r="H89" s="60" t="s">
        <v>165</v>
      </c>
      <c r="I89" s="60" t="s">
        <v>165</v>
      </c>
      <c r="J89" s="60" t="s">
        <v>165</v>
      </c>
    </row>
    <row r="90" customFormat="false" ht="15" hidden="false" customHeight="true" outlineLevel="0" collapsed="false">
      <c r="A90" s="82" t="s">
        <v>257</v>
      </c>
      <c r="B90" s="58" t="s">
        <v>177</v>
      </c>
      <c r="C90" s="75" t="s">
        <v>245</v>
      </c>
      <c r="D90" s="75" t="s">
        <v>245</v>
      </c>
      <c r="E90" s="58" t="s">
        <v>177</v>
      </c>
      <c r="F90" s="58" t="s">
        <v>177</v>
      </c>
      <c r="G90" s="58" t="s">
        <v>177</v>
      </c>
      <c r="H90" s="60" t="s">
        <v>165</v>
      </c>
      <c r="I90" s="60" t="s">
        <v>165</v>
      </c>
      <c r="J90" s="60" t="s">
        <v>165</v>
      </c>
    </row>
    <row r="91" customFormat="false" ht="15" hidden="false" customHeight="true" outlineLevel="0" collapsed="false">
      <c r="A91" s="82" t="s">
        <v>257</v>
      </c>
      <c r="B91" s="83" t="s">
        <v>265</v>
      </c>
      <c r="C91" s="83" t="s">
        <v>265</v>
      </c>
      <c r="D91" s="75" t="s">
        <v>245</v>
      </c>
      <c r="E91" s="75" t="s">
        <v>245</v>
      </c>
      <c r="F91" s="82" t="s">
        <v>257</v>
      </c>
      <c r="G91" s="82" t="s">
        <v>257</v>
      </c>
      <c r="H91" s="82" t="s">
        <v>257</v>
      </c>
      <c r="I91" s="60" t="s">
        <v>165</v>
      </c>
      <c r="J91" s="84" t="s">
        <v>261</v>
      </c>
    </row>
    <row r="92" customFormat="false" ht="15" hidden="false" customHeight="true" outlineLevel="0" collapsed="false">
      <c r="A92" s="82" t="s">
        <v>257</v>
      </c>
      <c r="B92" s="83" t="s">
        <v>265</v>
      </c>
      <c r="C92" s="83" t="s">
        <v>265</v>
      </c>
      <c r="D92" s="75" t="s">
        <v>245</v>
      </c>
      <c r="E92" s="58" t="s">
        <v>269</v>
      </c>
      <c r="F92" s="58" t="s">
        <v>269</v>
      </c>
      <c r="G92" s="58" t="s">
        <v>269</v>
      </c>
      <c r="H92" s="58" t="s">
        <v>269</v>
      </c>
      <c r="I92" s="84" t="s">
        <v>261</v>
      </c>
      <c r="J92" s="84" t="s">
        <v>261</v>
      </c>
    </row>
    <row r="93" customFormat="false" ht="15" hidden="false" customHeight="true" outlineLevel="0" collapsed="false">
      <c r="A93" s="82" t="s">
        <v>257</v>
      </c>
      <c r="B93" s="83" t="s">
        <v>265</v>
      </c>
      <c r="C93" s="83" t="s">
        <v>265</v>
      </c>
      <c r="D93" s="75" t="s">
        <v>245</v>
      </c>
      <c r="E93" s="58" t="s">
        <v>269</v>
      </c>
      <c r="F93" s="58" t="s">
        <v>269</v>
      </c>
      <c r="G93" s="84" t="s">
        <v>261</v>
      </c>
      <c r="H93" s="84" t="s">
        <v>261</v>
      </c>
      <c r="I93" s="84" t="s">
        <v>261</v>
      </c>
      <c r="J93" s="84" t="s">
        <v>261</v>
      </c>
    </row>
    <row r="94" customFormat="false" ht="15" hidden="false" customHeight="true" outlineLevel="0" collapsed="false">
      <c r="A94" s="83" t="s">
        <v>265</v>
      </c>
      <c r="B94" s="83" t="s">
        <v>265</v>
      </c>
      <c r="C94" s="83" t="s">
        <v>265</v>
      </c>
      <c r="D94" s="83" t="s">
        <v>265</v>
      </c>
      <c r="E94" s="83" t="s">
        <v>265</v>
      </c>
      <c r="F94" s="84" t="s">
        <v>261</v>
      </c>
      <c r="G94" s="84" t="s">
        <v>261</v>
      </c>
      <c r="H94" s="84" t="s">
        <v>261</v>
      </c>
      <c r="I94" s="84" t="s">
        <v>261</v>
      </c>
      <c r="J94" s="84" t="s">
        <v>261</v>
      </c>
    </row>
    <row r="95" customFormat="false" ht="15" hidden="false" customHeight="true" outlineLevel="0" collapsed="false">
      <c r="A95" s="58" t="s">
        <v>269</v>
      </c>
      <c r="B95" s="83" t="s">
        <v>265</v>
      </c>
      <c r="C95" s="83" t="s">
        <v>265</v>
      </c>
      <c r="D95" s="83" t="s">
        <v>265</v>
      </c>
      <c r="E95" s="83" t="s">
        <v>265</v>
      </c>
      <c r="F95" s="82" t="s">
        <v>257</v>
      </c>
      <c r="G95" s="82" t="s">
        <v>257</v>
      </c>
      <c r="H95" s="84" t="s">
        <v>261</v>
      </c>
      <c r="I95" s="84" t="s">
        <v>261</v>
      </c>
      <c r="J95" s="84" t="s">
        <v>261</v>
      </c>
    </row>
    <row r="96" customFormat="false" ht="15" hidden="false" customHeight="true" outlineLevel="0" collapsed="false">
      <c r="A96" s="58" t="s">
        <v>269</v>
      </c>
      <c r="B96" s="58" t="s">
        <v>269</v>
      </c>
      <c r="C96" s="83" t="s">
        <v>265</v>
      </c>
      <c r="D96" s="83" t="s">
        <v>265</v>
      </c>
      <c r="E96" s="82" t="s">
        <v>257</v>
      </c>
      <c r="F96" s="82" t="s">
        <v>257</v>
      </c>
      <c r="G96" s="82" t="s">
        <v>257</v>
      </c>
      <c r="H96" s="82" t="s">
        <v>257</v>
      </c>
      <c r="I96" s="84" t="s">
        <v>261</v>
      </c>
      <c r="J96" s="82" t="s">
        <v>257</v>
      </c>
    </row>
    <row r="97" customFormat="false" ht="15" hidden="false" customHeight="true" outlineLevel="0" collapsed="false">
      <c r="A97" s="58" t="s">
        <v>269</v>
      </c>
      <c r="B97" s="58" t="s">
        <v>269</v>
      </c>
      <c r="C97" s="58" t="s">
        <v>269</v>
      </c>
      <c r="D97" s="83" t="s">
        <v>265</v>
      </c>
      <c r="E97" s="82" t="s">
        <v>257</v>
      </c>
      <c r="F97" s="82" t="s">
        <v>257</v>
      </c>
      <c r="G97" s="82" t="s">
        <v>257</v>
      </c>
      <c r="H97" s="82" t="s">
        <v>257</v>
      </c>
      <c r="I97" s="82" t="s">
        <v>257</v>
      </c>
      <c r="J97" s="82" t="s">
        <v>257</v>
      </c>
    </row>
    <row r="99" customFormat="false" ht="16.5" hidden="false" customHeight="true" outlineLevel="0" collapsed="false">
      <c r="A99" s="21" t="s">
        <v>318</v>
      </c>
    </row>
    <row r="100" customFormat="false" ht="15" hidden="false" customHeight="true" outlineLevel="0" collapsed="false">
      <c r="A100" s="85" t="s">
        <v>288</v>
      </c>
      <c r="B100" s="85" t="s">
        <v>288</v>
      </c>
      <c r="C100" s="85" t="s">
        <v>288</v>
      </c>
      <c r="D100" s="85" t="s">
        <v>288</v>
      </c>
      <c r="E100" s="85" t="s">
        <v>288</v>
      </c>
      <c r="F100" s="58" t="s">
        <v>177</v>
      </c>
      <c r="G100" s="58" t="s">
        <v>177</v>
      </c>
      <c r="H100" s="58" t="s">
        <v>177</v>
      </c>
      <c r="I100" s="58" t="s">
        <v>177</v>
      </c>
      <c r="J100" s="58" t="s">
        <v>177</v>
      </c>
    </row>
    <row r="101" customFormat="false" ht="15" hidden="false" customHeight="true" outlineLevel="0" collapsed="false">
      <c r="A101" s="85" t="s">
        <v>288</v>
      </c>
      <c r="B101" s="85" t="s">
        <v>288</v>
      </c>
      <c r="C101" s="85" t="s">
        <v>288</v>
      </c>
      <c r="D101" s="58" t="s">
        <v>177</v>
      </c>
      <c r="E101" s="58" t="s">
        <v>177</v>
      </c>
      <c r="F101" s="58" t="s">
        <v>177</v>
      </c>
      <c r="G101" s="58" t="s">
        <v>177</v>
      </c>
      <c r="H101" s="85" t="s">
        <v>288</v>
      </c>
      <c r="I101" s="58" t="s">
        <v>177</v>
      </c>
      <c r="J101" s="58" t="s">
        <v>177</v>
      </c>
    </row>
    <row r="102" customFormat="false" ht="15" hidden="false" customHeight="true" outlineLevel="0" collapsed="false">
      <c r="A102" s="85" t="s">
        <v>288</v>
      </c>
      <c r="B102" s="85" t="s">
        <v>288</v>
      </c>
      <c r="C102" s="85" t="s">
        <v>288</v>
      </c>
      <c r="D102" s="58" t="s">
        <v>177</v>
      </c>
      <c r="E102" s="58" t="s">
        <v>177</v>
      </c>
      <c r="F102" s="58" t="s">
        <v>177</v>
      </c>
      <c r="G102" s="63" t="s">
        <v>173</v>
      </c>
      <c r="H102" s="63" t="s">
        <v>173</v>
      </c>
      <c r="I102" s="58" t="s">
        <v>177</v>
      </c>
      <c r="J102" s="58" t="s">
        <v>177</v>
      </c>
    </row>
    <row r="103" customFormat="false" ht="15" hidden="false" customHeight="true" outlineLevel="0" collapsed="false">
      <c r="A103" s="85" t="s">
        <v>288</v>
      </c>
      <c r="B103" s="85" t="s">
        <v>288</v>
      </c>
      <c r="C103" s="85" t="s">
        <v>288</v>
      </c>
      <c r="D103" s="58" t="s">
        <v>177</v>
      </c>
      <c r="E103" s="85" t="s">
        <v>288</v>
      </c>
      <c r="F103" s="58" t="s">
        <v>177</v>
      </c>
      <c r="G103" s="58" t="s">
        <v>177</v>
      </c>
      <c r="H103" s="63" t="s">
        <v>173</v>
      </c>
      <c r="I103" s="63" t="s">
        <v>173</v>
      </c>
      <c r="J103" s="63" t="s">
        <v>173</v>
      </c>
    </row>
    <row r="104" customFormat="false" ht="15" hidden="false" customHeight="true" outlineLevel="0" collapsed="false">
      <c r="A104" s="85" t="s">
        <v>288</v>
      </c>
      <c r="B104" s="86" t="s">
        <v>284</v>
      </c>
      <c r="C104" s="85" t="s">
        <v>288</v>
      </c>
      <c r="D104" s="85" t="s">
        <v>288</v>
      </c>
      <c r="E104" s="85" t="s">
        <v>288</v>
      </c>
      <c r="F104" s="58" t="s">
        <v>177</v>
      </c>
      <c r="G104" s="58" t="s">
        <v>177</v>
      </c>
      <c r="H104" s="63" t="s">
        <v>173</v>
      </c>
      <c r="I104" s="63" t="s">
        <v>173</v>
      </c>
      <c r="J104" s="63" t="s">
        <v>173</v>
      </c>
    </row>
    <row r="105" customFormat="false" ht="15" hidden="false" customHeight="true" outlineLevel="0" collapsed="false">
      <c r="A105" s="86" t="s">
        <v>284</v>
      </c>
      <c r="B105" s="86" t="s">
        <v>284</v>
      </c>
      <c r="C105" s="85" t="s">
        <v>288</v>
      </c>
      <c r="D105" s="69" t="s">
        <v>181</v>
      </c>
      <c r="E105" s="69" t="s">
        <v>181</v>
      </c>
      <c r="F105" s="85" t="s">
        <v>288</v>
      </c>
      <c r="G105" s="58" t="s">
        <v>177</v>
      </c>
      <c r="H105" s="63" t="s">
        <v>173</v>
      </c>
      <c r="I105" s="63" t="s">
        <v>173</v>
      </c>
      <c r="J105" s="87" t="s">
        <v>292</v>
      </c>
    </row>
    <row r="106" customFormat="false" ht="15" hidden="false" customHeight="true" outlineLevel="0" collapsed="false">
      <c r="A106" s="86" t="s">
        <v>284</v>
      </c>
      <c r="B106" s="86" t="s">
        <v>284</v>
      </c>
      <c r="C106" s="86" t="s">
        <v>284</v>
      </c>
      <c r="D106" s="85" t="s">
        <v>288</v>
      </c>
      <c r="E106" s="69" t="s">
        <v>181</v>
      </c>
      <c r="F106" s="85" t="s">
        <v>288</v>
      </c>
      <c r="G106" s="63" t="s">
        <v>173</v>
      </c>
      <c r="H106" s="63" t="s">
        <v>173</v>
      </c>
      <c r="I106" s="87" t="s">
        <v>292</v>
      </c>
      <c r="J106" s="87" t="s">
        <v>292</v>
      </c>
    </row>
    <row r="107" customFormat="false" ht="15" hidden="false" customHeight="true" outlineLevel="0" collapsed="false">
      <c r="A107" s="86" t="s">
        <v>284</v>
      </c>
      <c r="B107" s="86" t="s">
        <v>284</v>
      </c>
      <c r="C107" s="86" t="s">
        <v>284</v>
      </c>
      <c r="D107" s="85" t="s">
        <v>288</v>
      </c>
      <c r="E107" s="69" t="s">
        <v>181</v>
      </c>
      <c r="F107" s="69" t="s">
        <v>181</v>
      </c>
      <c r="G107" s="87" t="s">
        <v>292</v>
      </c>
      <c r="H107" s="87" t="s">
        <v>292</v>
      </c>
      <c r="I107" s="87" t="s">
        <v>292</v>
      </c>
      <c r="J107" s="87" t="s">
        <v>292</v>
      </c>
    </row>
    <row r="108" customFormat="false" ht="15" hidden="false" customHeight="true" outlineLevel="0" collapsed="false">
      <c r="A108" s="86" t="s">
        <v>284</v>
      </c>
      <c r="B108" s="86" t="s">
        <v>284</v>
      </c>
      <c r="C108" s="86" t="s">
        <v>284</v>
      </c>
      <c r="D108" s="69" t="s">
        <v>181</v>
      </c>
      <c r="E108" s="69" t="s">
        <v>181</v>
      </c>
      <c r="F108" s="69" t="s">
        <v>181</v>
      </c>
      <c r="G108" s="87" t="s">
        <v>292</v>
      </c>
      <c r="H108" s="87" t="s">
        <v>292</v>
      </c>
      <c r="I108" s="87" t="s">
        <v>292</v>
      </c>
      <c r="J108" s="87" t="s">
        <v>292</v>
      </c>
    </row>
    <row r="109" customFormat="false" ht="15" hidden="false" customHeight="true" outlineLevel="0" collapsed="false">
      <c r="A109" s="86" t="s">
        <v>284</v>
      </c>
      <c r="B109" s="86" t="s">
        <v>284</v>
      </c>
      <c r="C109" s="85" t="s">
        <v>288</v>
      </c>
      <c r="D109" s="85" t="s">
        <v>288</v>
      </c>
      <c r="E109" s="69" t="s">
        <v>181</v>
      </c>
      <c r="F109" s="69" t="s">
        <v>181</v>
      </c>
      <c r="G109" s="85" t="s">
        <v>288</v>
      </c>
      <c r="H109" s="87" t="s">
        <v>292</v>
      </c>
      <c r="I109" s="85" t="s">
        <v>288</v>
      </c>
      <c r="J109" s="85" t="s">
        <v>288</v>
      </c>
    </row>
    <row r="111" customFormat="false" ht="16.5" hidden="false" customHeight="true" outlineLevel="0" collapsed="false">
      <c r="A111" s="21" t="s">
        <v>319</v>
      </c>
    </row>
    <row r="112" customFormat="false" ht="15" hidden="false" customHeight="true" outlineLevel="0" collapsed="false">
      <c r="A112" s="69" t="s">
        <v>296</v>
      </c>
      <c r="B112" s="60" t="s">
        <v>307</v>
      </c>
      <c r="C112" s="60" t="s">
        <v>307</v>
      </c>
      <c r="D112" s="60" t="s">
        <v>307</v>
      </c>
      <c r="E112" s="60" t="s">
        <v>307</v>
      </c>
      <c r="F112" s="60" t="s">
        <v>307</v>
      </c>
      <c r="G112" s="60" t="s">
        <v>307</v>
      </c>
      <c r="H112" s="60" t="s">
        <v>307</v>
      </c>
      <c r="I112" s="69" t="s">
        <v>296</v>
      </c>
      <c r="J112" s="69" t="s">
        <v>296</v>
      </c>
    </row>
    <row r="113" customFormat="false" ht="15" hidden="false" customHeight="true" outlineLevel="0" collapsed="false">
      <c r="A113" s="69" t="s">
        <v>296</v>
      </c>
      <c r="B113" s="69" t="s">
        <v>296</v>
      </c>
      <c r="C113" s="60" t="s">
        <v>307</v>
      </c>
      <c r="D113" s="60" t="s">
        <v>307</v>
      </c>
      <c r="E113" s="60" t="s">
        <v>307</v>
      </c>
      <c r="F113" s="60" t="s">
        <v>307</v>
      </c>
      <c r="G113" s="60" t="s">
        <v>307</v>
      </c>
      <c r="H113" s="60" t="s">
        <v>307</v>
      </c>
      <c r="I113" s="69" t="s">
        <v>296</v>
      </c>
      <c r="J113" s="69" t="s">
        <v>296</v>
      </c>
    </row>
    <row r="114" customFormat="false" ht="15" hidden="false" customHeight="true" outlineLevel="0" collapsed="false">
      <c r="A114" s="60" t="s">
        <v>307</v>
      </c>
      <c r="B114" s="60" t="s">
        <v>307</v>
      </c>
      <c r="C114" s="60" t="s">
        <v>307</v>
      </c>
      <c r="D114" s="60" t="s">
        <v>307</v>
      </c>
      <c r="E114" s="60" t="s">
        <v>307</v>
      </c>
      <c r="F114" s="60" t="s">
        <v>307</v>
      </c>
      <c r="G114" s="58" t="s">
        <v>177</v>
      </c>
      <c r="H114" s="88" t="s">
        <v>303</v>
      </c>
      <c r="I114" s="69" t="s">
        <v>296</v>
      </c>
      <c r="J114" s="69" t="s">
        <v>296</v>
      </c>
    </row>
    <row r="115" customFormat="false" ht="15" hidden="false" customHeight="true" outlineLevel="0" collapsed="false">
      <c r="A115" s="69" t="s">
        <v>296</v>
      </c>
      <c r="B115" s="60" t="s">
        <v>307</v>
      </c>
      <c r="C115" s="69" t="s">
        <v>296</v>
      </c>
      <c r="D115" s="69" t="s">
        <v>296</v>
      </c>
      <c r="E115" s="58" t="s">
        <v>177</v>
      </c>
      <c r="F115" s="58" t="s">
        <v>177</v>
      </c>
      <c r="G115" s="58" t="s">
        <v>177</v>
      </c>
      <c r="H115" s="88" t="s">
        <v>303</v>
      </c>
      <c r="I115" s="69" t="s">
        <v>296</v>
      </c>
      <c r="J115" s="69" t="s">
        <v>296</v>
      </c>
    </row>
    <row r="116" customFormat="false" ht="15" hidden="false" customHeight="true" outlineLevel="0" collapsed="false">
      <c r="A116" s="69" t="s">
        <v>296</v>
      </c>
      <c r="B116" s="89" t="s">
        <v>299</v>
      </c>
      <c r="C116" s="89" t="s">
        <v>299</v>
      </c>
      <c r="D116" s="69" t="s">
        <v>296</v>
      </c>
      <c r="E116" s="58" t="s">
        <v>177</v>
      </c>
      <c r="F116" s="58" t="s">
        <v>177</v>
      </c>
      <c r="G116" s="88" t="s">
        <v>303</v>
      </c>
      <c r="H116" s="88" t="s">
        <v>303</v>
      </c>
      <c r="I116" s="69" t="s">
        <v>296</v>
      </c>
      <c r="J116" s="69" t="s">
        <v>296</v>
      </c>
    </row>
    <row r="117" customFormat="false" ht="15" hidden="false" customHeight="true" outlineLevel="0" collapsed="false">
      <c r="A117" s="89" t="s">
        <v>299</v>
      </c>
      <c r="B117" s="89" t="s">
        <v>299</v>
      </c>
      <c r="C117" s="89" t="s">
        <v>299</v>
      </c>
      <c r="D117" s="69" t="s">
        <v>296</v>
      </c>
      <c r="E117" s="69" t="s">
        <v>296</v>
      </c>
      <c r="F117" s="88" t="s">
        <v>303</v>
      </c>
      <c r="G117" s="88" t="s">
        <v>303</v>
      </c>
      <c r="H117" s="88" t="s">
        <v>303</v>
      </c>
      <c r="I117" s="88" t="s">
        <v>303</v>
      </c>
      <c r="J117" s="69" t="s">
        <v>296</v>
      </c>
    </row>
    <row r="118" customFormat="false" ht="15" hidden="false" customHeight="true" outlineLevel="0" collapsed="false">
      <c r="A118" s="89" t="s">
        <v>299</v>
      </c>
      <c r="B118" s="89" t="s">
        <v>299</v>
      </c>
      <c r="C118" s="60" t="s">
        <v>165</v>
      </c>
      <c r="D118" s="63" t="s">
        <v>173</v>
      </c>
      <c r="E118" s="63" t="s">
        <v>173</v>
      </c>
      <c r="F118" s="88" t="s">
        <v>303</v>
      </c>
      <c r="G118" s="88" t="s">
        <v>303</v>
      </c>
      <c r="H118" s="88" t="s">
        <v>303</v>
      </c>
      <c r="I118" s="88" t="s">
        <v>303</v>
      </c>
      <c r="J118" s="69" t="s">
        <v>296</v>
      </c>
    </row>
    <row r="119" customFormat="false" ht="15" hidden="false" customHeight="true" outlineLevel="0" collapsed="false">
      <c r="A119" s="69" t="s">
        <v>296</v>
      </c>
      <c r="B119" s="89" t="s">
        <v>299</v>
      </c>
      <c r="C119" s="60" t="s">
        <v>165</v>
      </c>
      <c r="D119" s="60" t="s">
        <v>165</v>
      </c>
      <c r="E119" s="63" t="s">
        <v>173</v>
      </c>
      <c r="F119" s="63" t="s">
        <v>173</v>
      </c>
      <c r="G119" s="63" t="s">
        <v>173</v>
      </c>
      <c r="H119" s="63" t="s">
        <v>173</v>
      </c>
      <c r="I119" s="63" t="s">
        <v>173</v>
      </c>
      <c r="J119" s="63" t="s">
        <v>173</v>
      </c>
    </row>
    <row r="120" customFormat="false" ht="15" hidden="false" customHeight="true" outlineLevel="0" collapsed="false">
      <c r="A120" s="69" t="s">
        <v>296</v>
      </c>
      <c r="B120" s="60" t="s">
        <v>165</v>
      </c>
      <c r="C120" s="60" t="s">
        <v>165</v>
      </c>
      <c r="D120" s="60" t="s">
        <v>165</v>
      </c>
      <c r="E120" s="60" t="s">
        <v>165</v>
      </c>
      <c r="F120" s="63" t="s">
        <v>173</v>
      </c>
      <c r="G120" s="63" t="s">
        <v>173</v>
      </c>
      <c r="H120" s="63" t="s">
        <v>173</v>
      </c>
      <c r="I120" s="63" t="s">
        <v>173</v>
      </c>
      <c r="J120" s="63" t="s">
        <v>173</v>
      </c>
    </row>
    <row r="121" customFormat="false" ht="15" hidden="false" customHeight="true" outlineLevel="0" collapsed="false">
      <c r="A121" s="69" t="s">
        <v>296</v>
      </c>
      <c r="B121" s="69" t="s">
        <v>296</v>
      </c>
      <c r="C121" s="60" t="s">
        <v>165</v>
      </c>
      <c r="D121" s="60" t="s">
        <v>165</v>
      </c>
      <c r="E121" s="60" t="s">
        <v>165</v>
      </c>
      <c r="F121" s="60" t="s">
        <v>165</v>
      </c>
      <c r="G121" s="60" t="s">
        <v>165</v>
      </c>
      <c r="H121" s="63" t="s">
        <v>173</v>
      </c>
      <c r="I121" s="63" t="s">
        <v>173</v>
      </c>
      <c r="J121" s="63"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50"/>
    <pageSetUpPr fitToPage="false"/>
  </sheetPr>
  <dimension ref="A1:AE10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52" activePane="bottomLeft" state="frozen"/>
      <selection pane="topLeft" activeCell="A1" activeCellId="0" sqref="A1"/>
      <selection pane="bottomLeft" activeCell="I53" activeCellId="0" sqref="I53"/>
    </sheetView>
  </sheetViews>
  <sheetFormatPr defaultColWidth="14.445312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13.67"/>
    <col collapsed="false" customWidth="true" hidden="false" outlineLevel="0" max="4" min="4" style="1" width="7.33"/>
    <col collapsed="false" customWidth="true" hidden="false" outlineLevel="0" max="5" min="5" style="1" width="11.67"/>
    <col collapsed="false" customWidth="true" hidden="false" outlineLevel="0" max="7" min="6" style="1" width="9.88"/>
    <col collapsed="false" customWidth="true" hidden="false" outlineLevel="0" max="8" min="8" style="1" width="10.33"/>
    <col collapsed="false" customWidth="true" hidden="false" outlineLevel="0" max="11" min="9" style="1" width="40"/>
  </cols>
  <sheetData>
    <row r="1" customFormat="false" ht="21.75" hidden="false" customHeight="true" outlineLevel="0" collapsed="false">
      <c r="A1" s="90"/>
      <c r="B1" s="90"/>
      <c r="C1" s="90"/>
      <c r="D1" s="90"/>
      <c r="E1" s="90"/>
      <c r="F1" s="90"/>
      <c r="G1" s="90"/>
      <c r="H1" s="90"/>
      <c r="I1" s="90"/>
      <c r="J1" s="90"/>
      <c r="P1" s="90"/>
      <c r="Q1" s="1"/>
      <c r="R1" s="1"/>
      <c r="S1" s="1"/>
      <c r="T1" s="1"/>
      <c r="U1" s="1"/>
      <c r="V1" s="1"/>
      <c r="W1" s="1"/>
      <c r="X1" s="1"/>
      <c r="Y1" s="1"/>
      <c r="Z1" s="1"/>
      <c r="AA1" s="1"/>
      <c r="AB1" s="1"/>
      <c r="AC1" s="1"/>
      <c r="AD1" s="1"/>
      <c r="AE1" s="1"/>
    </row>
    <row r="2" customFormat="false" ht="21.75" hidden="false" customHeight="true" outlineLevel="0" collapsed="false">
      <c r="A2" s="91" t="s">
        <v>320</v>
      </c>
      <c r="B2" s="91"/>
      <c r="C2" s="91"/>
      <c r="D2" s="91"/>
      <c r="E2" s="91"/>
      <c r="F2" s="91"/>
      <c r="G2" s="91"/>
      <c r="H2" s="91"/>
      <c r="I2" s="91"/>
      <c r="J2" s="91"/>
      <c r="K2" s="91"/>
      <c r="Q2" s="1"/>
      <c r="R2" s="1"/>
      <c r="S2" s="1"/>
      <c r="T2" s="1"/>
      <c r="U2" s="1"/>
      <c r="V2" s="1"/>
      <c r="W2" s="1"/>
      <c r="X2" s="1"/>
      <c r="Y2" s="1"/>
      <c r="Z2" s="1"/>
      <c r="AA2" s="1"/>
      <c r="AB2" s="1"/>
      <c r="AC2" s="1"/>
      <c r="AD2" s="1"/>
      <c r="AE2" s="1"/>
    </row>
    <row r="3" customFormat="false" ht="39.75" hidden="false" customHeight="true" outlineLevel="0" collapsed="false">
      <c r="A3" s="92" t="s">
        <v>321</v>
      </c>
      <c r="B3" s="92" t="s">
        <v>322</v>
      </c>
      <c r="C3" s="93" t="s">
        <v>323</v>
      </c>
      <c r="D3" s="94" t="s">
        <v>324</v>
      </c>
      <c r="E3" s="93" t="s">
        <v>325</v>
      </c>
      <c r="F3" s="94" t="s">
        <v>326</v>
      </c>
      <c r="G3" s="93" t="s">
        <v>327</v>
      </c>
      <c r="H3" s="94" t="s">
        <v>328</v>
      </c>
      <c r="I3" s="95" t="s">
        <v>329</v>
      </c>
      <c r="J3" s="96" t="s">
        <v>330</v>
      </c>
      <c r="K3" s="97" t="s">
        <v>331</v>
      </c>
      <c r="L3" s="97" t="s">
        <v>332</v>
      </c>
      <c r="M3" s="97" t="s">
        <v>333</v>
      </c>
      <c r="N3" s="97" t="s">
        <v>334</v>
      </c>
      <c r="O3" s="97" t="s">
        <v>335</v>
      </c>
      <c r="P3" s="96" t="s">
        <v>336</v>
      </c>
      <c r="Q3" s="1"/>
      <c r="R3" s="1"/>
      <c r="S3" s="1"/>
      <c r="T3" s="1"/>
      <c r="U3" s="1"/>
      <c r="V3" s="1"/>
      <c r="W3" s="1"/>
      <c r="X3" s="1"/>
      <c r="Y3" s="1"/>
      <c r="Z3" s="1"/>
      <c r="AA3" s="1"/>
      <c r="AB3" s="1"/>
      <c r="AC3" s="1"/>
      <c r="AD3" s="1"/>
      <c r="AE3" s="1"/>
    </row>
    <row r="4" customFormat="false" ht="36" hidden="false" customHeight="true" outlineLevel="0" collapsed="false">
      <c r="A4" s="10" t="s">
        <v>337</v>
      </c>
      <c r="B4" s="11" t="s">
        <v>338</v>
      </c>
      <c r="C4" s="98" t="s">
        <v>17</v>
      </c>
      <c r="D4" s="99" t="str">
        <f aca="false" t="array" ref="D4:D4">IFERROR(INDEX(値リスト!$A$3:$A$9,MATCH(C4,値リスト!$B$3:$B$9,0)),"")</f>
        <v>fungi</v>
      </c>
      <c r="E4" s="100" t="s">
        <v>72</v>
      </c>
      <c r="F4" s="101" t="str">
        <f aca="false">IFERROR(INDEX(値リスト!$A$14:$A$24,MATCH(E4,値リスト!$B$14:$B$24,0)),"")</f>
        <v>healing</v>
      </c>
      <c r="G4" s="100" t="s">
        <v>63</v>
      </c>
      <c r="H4" s="101" t="str">
        <f aca="false">IFERROR(INDEX(値リスト!$A$27:$A$33,MATCH(G4,値リスト!$B$27:$B$33,0)),"")</f>
        <v>preserve</v>
      </c>
      <c r="I4" s="12" t="s">
        <v>339</v>
      </c>
      <c r="J4" s="102" t="s">
        <v>340</v>
      </c>
      <c r="K4" s="12" t="s">
        <v>341</v>
      </c>
      <c r="L4" s="1" t="n">
        <v>8</v>
      </c>
      <c r="M4" s="97" t="s">
        <v>342</v>
      </c>
      <c r="N4" s="1" t="n">
        <v>200</v>
      </c>
      <c r="O4" s="97" t="s">
        <v>342</v>
      </c>
      <c r="P4" s="1"/>
      <c r="Q4" s="1"/>
      <c r="R4" s="1"/>
      <c r="S4" s="1"/>
      <c r="T4" s="1"/>
      <c r="U4" s="1"/>
      <c r="V4" s="1"/>
      <c r="W4" s="1"/>
      <c r="X4" s="1"/>
      <c r="Y4" s="1"/>
      <c r="Z4" s="1"/>
      <c r="AA4" s="1"/>
      <c r="AB4" s="1"/>
      <c r="AC4" s="1"/>
      <c r="AD4" s="1"/>
      <c r="AE4" s="1"/>
    </row>
    <row r="5" customFormat="false" ht="36" hidden="false" customHeight="true" outlineLevel="0" collapsed="false">
      <c r="A5" s="13" t="s">
        <v>343</v>
      </c>
      <c r="B5" s="14" t="s">
        <v>344</v>
      </c>
      <c r="C5" s="98" t="s">
        <v>17</v>
      </c>
      <c r="D5" s="99" t="str">
        <f aca="false" t="array" ref="D5:D5">IFERROR(INDEX(値リスト!$A$3:$A$9,MATCH(C5,値リスト!$B$3:$B$9,0)),"")</f>
        <v>fungi</v>
      </c>
      <c r="E5" s="100" t="s">
        <v>86</v>
      </c>
      <c r="F5" s="101" t="str">
        <f aca="false">IFERROR(INDEX(値リスト!$A$14:$A$24,MATCH(E5,値リスト!$B$14:$B$24,0)),"")</f>
        <v>stimulation</v>
      </c>
      <c r="G5" s="100" t="s">
        <v>150</v>
      </c>
      <c r="H5" s="101" t="str">
        <f aca="false">IFERROR(INDEX(値リスト!$A$27:$A$33,MATCH(G5,値リスト!$B$27:$B$33,0)),"")</f>
        <v>permeate</v>
      </c>
      <c r="I5" s="12" t="s">
        <v>345</v>
      </c>
      <c r="J5" s="102" t="s">
        <v>346</v>
      </c>
      <c r="K5" s="12" t="s">
        <v>341</v>
      </c>
      <c r="L5" s="1" t="n">
        <v>8</v>
      </c>
      <c r="M5" s="97" t="s">
        <v>342</v>
      </c>
      <c r="N5" s="1" t="n">
        <v>200</v>
      </c>
      <c r="O5" s="97" t="s">
        <v>342</v>
      </c>
      <c r="P5" s="1"/>
      <c r="Q5" s="1"/>
      <c r="R5" s="1"/>
      <c r="S5" s="1"/>
      <c r="T5" s="1"/>
      <c r="U5" s="1"/>
      <c r="V5" s="1"/>
      <c r="W5" s="1"/>
      <c r="X5" s="1"/>
      <c r="Y5" s="1"/>
      <c r="Z5" s="1"/>
      <c r="AA5" s="1"/>
      <c r="AB5" s="1"/>
      <c r="AC5" s="1"/>
      <c r="AD5" s="1"/>
      <c r="AE5" s="1"/>
    </row>
    <row r="6" customFormat="false" ht="36" hidden="false" customHeight="true" outlineLevel="0" collapsed="false">
      <c r="A6" s="10" t="s">
        <v>347</v>
      </c>
      <c r="B6" s="11" t="s">
        <v>348</v>
      </c>
      <c r="C6" s="98" t="s">
        <v>17</v>
      </c>
      <c r="D6" s="99" t="str">
        <f aca="false" t="array" ref="D6:D6">IFERROR(INDEX(値リスト!$A$3:$A$9,MATCH(C6,値リスト!$B$3:$B$9,0)),"")</f>
        <v>fungi</v>
      </c>
      <c r="E6" s="100" t="s">
        <v>86</v>
      </c>
      <c r="F6" s="101" t="str">
        <f aca="false">IFERROR(INDEX(値リスト!$A$14:$A$24,MATCH(E6,値リスト!$B$14:$B$24,0)),"")</f>
        <v>stimulation</v>
      </c>
      <c r="G6" s="100" t="s">
        <v>147</v>
      </c>
      <c r="H6" s="101" t="str">
        <f aca="false">IFERROR(INDEX(値リスト!$A$27:$A$33,MATCH(G6,値リスト!$B$27:$B$33,0)),"")</f>
        <v>volatile</v>
      </c>
      <c r="I6" s="12" t="s">
        <v>349</v>
      </c>
      <c r="J6" s="103" t="s">
        <v>350</v>
      </c>
      <c r="K6" s="12" t="s">
        <v>341</v>
      </c>
      <c r="L6" s="1" t="n">
        <v>8</v>
      </c>
      <c r="M6" s="97" t="s">
        <v>342</v>
      </c>
      <c r="O6" s="97" t="s">
        <v>342</v>
      </c>
      <c r="P6" s="1"/>
      <c r="Q6" s="1"/>
      <c r="R6" s="1"/>
      <c r="S6" s="1"/>
      <c r="T6" s="1"/>
      <c r="U6" s="1"/>
      <c r="V6" s="1"/>
      <c r="W6" s="1"/>
      <c r="X6" s="1"/>
      <c r="Y6" s="1"/>
      <c r="Z6" s="1"/>
      <c r="AA6" s="1"/>
      <c r="AB6" s="1"/>
      <c r="AC6" s="1"/>
      <c r="AD6" s="1"/>
      <c r="AE6" s="1"/>
    </row>
    <row r="7" customFormat="false" ht="36" hidden="false" customHeight="true" outlineLevel="0" collapsed="false">
      <c r="A7" s="13" t="s">
        <v>351</v>
      </c>
      <c r="B7" s="14" t="s">
        <v>352</v>
      </c>
      <c r="C7" s="98" t="s">
        <v>17</v>
      </c>
      <c r="D7" s="99" t="str">
        <f aca="false" t="array" ref="D7:D7">IFERROR(INDEX(値リスト!$A$3:$A$9,MATCH(C7,値リスト!$B$3:$B$9,0)),"")</f>
        <v>fungi</v>
      </c>
      <c r="E7" s="100" t="s">
        <v>80</v>
      </c>
      <c r="F7" s="101" t="str">
        <f aca="false">IFERROR(INDEX(値リスト!$A$14:$A$24,MATCH(E7,値リスト!$B$14:$B$24,0)),"")</f>
        <v>tonic</v>
      </c>
      <c r="G7" s="100" t="s">
        <v>153</v>
      </c>
      <c r="H7" s="101" t="str">
        <f aca="false">IFERROR(INDEX(値リスト!$A$27:$A$33,MATCH(G7,値リスト!$B$27:$B$33,0)),"")</f>
        <v>catalyst</v>
      </c>
      <c r="I7" s="12" t="s">
        <v>353</v>
      </c>
      <c r="J7" s="102" t="s">
        <v>354</v>
      </c>
      <c r="K7" s="12" t="s">
        <v>341</v>
      </c>
      <c r="L7" s="1" t="n">
        <v>8</v>
      </c>
      <c r="M7" s="97" t="s">
        <v>342</v>
      </c>
      <c r="N7" s="1" t="n">
        <v>200</v>
      </c>
      <c r="O7" s="97" t="s">
        <v>342</v>
      </c>
      <c r="P7" s="1"/>
      <c r="Q7" s="1"/>
      <c r="R7" s="1"/>
      <c r="S7" s="1"/>
      <c r="T7" s="1"/>
      <c r="U7" s="1"/>
      <c r="V7" s="1"/>
      <c r="W7" s="1"/>
      <c r="X7" s="1"/>
      <c r="Y7" s="1"/>
      <c r="Z7" s="1"/>
      <c r="AA7" s="1"/>
      <c r="AB7" s="1"/>
      <c r="AC7" s="1"/>
      <c r="AD7" s="1"/>
      <c r="AE7" s="1"/>
    </row>
    <row r="8" customFormat="false" ht="36" hidden="false" customHeight="true" outlineLevel="0" collapsed="false">
      <c r="A8" s="10" t="s">
        <v>355</v>
      </c>
      <c r="B8" s="11" t="s">
        <v>356</v>
      </c>
      <c r="C8" s="98" t="s">
        <v>17</v>
      </c>
      <c r="D8" s="99" t="str">
        <f aca="false" t="array" ref="D8:D8">IFERROR(INDEX(値リスト!$A$3:$A$9,MATCH(C8,値リスト!$B$3:$B$9,0)),"")</f>
        <v>fungi</v>
      </c>
      <c r="E8" s="100" t="s">
        <v>77</v>
      </c>
      <c r="F8" s="101" t="str">
        <f aca="false">IFERROR(INDEX(値リスト!$A$14:$A$24,MATCH(E8,値リスト!$B$14:$B$24,0)),"")</f>
        <v>detox</v>
      </c>
      <c r="G8" s="100" t="s">
        <v>142</v>
      </c>
      <c r="H8" s="101" t="str">
        <f aca="false">IFERROR(INDEX(値リスト!$A$27:$A$33,MATCH(G8,値リスト!$B$27:$B$33,0)),"")</f>
        <v>separate</v>
      </c>
      <c r="I8" s="12" t="s">
        <v>357</v>
      </c>
      <c r="J8" s="102" t="s">
        <v>358</v>
      </c>
      <c r="K8" s="12" t="s">
        <v>341</v>
      </c>
      <c r="L8" s="1" t="n">
        <v>8</v>
      </c>
      <c r="M8" s="97" t="s">
        <v>342</v>
      </c>
      <c r="N8" s="1" t="n">
        <v>200</v>
      </c>
      <c r="O8" s="97" t="s">
        <v>342</v>
      </c>
      <c r="P8" s="1"/>
      <c r="Q8" s="1"/>
      <c r="R8" s="1"/>
      <c r="S8" s="1"/>
      <c r="T8" s="1"/>
      <c r="U8" s="1"/>
      <c r="V8" s="1"/>
      <c r="W8" s="1"/>
      <c r="X8" s="1"/>
      <c r="Y8" s="1"/>
      <c r="Z8" s="1"/>
      <c r="AA8" s="1"/>
      <c r="AB8" s="1"/>
      <c r="AC8" s="1"/>
      <c r="AD8" s="1"/>
      <c r="AE8" s="1"/>
    </row>
    <row r="9" customFormat="false" ht="36" hidden="false" customHeight="true" outlineLevel="0" collapsed="false">
      <c r="A9" s="13" t="s">
        <v>359</v>
      </c>
      <c r="B9" s="14" t="s">
        <v>360</v>
      </c>
      <c r="C9" s="98" t="s">
        <v>17</v>
      </c>
      <c r="D9" s="99" t="str">
        <f aca="false" t="array" ref="D9:D9">IFERROR(INDEX(値リスト!$A$3:$A$9,MATCH(C9,値リスト!$B$3:$B$9,0)),"")</f>
        <v>fungi</v>
      </c>
      <c r="E9" s="100" t="s">
        <v>72</v>
      </c>
      <c r="F9" s="101" t="str">
        <f aca="false">IFERROR(INDEX(値リスト!$A$14:$A$24,MATCH(E9,値リスト!$B$14:$B$24,0)),"")</f>
        <v>healing</v>
      </c>
      <c r="G9" s="100" t="s">
        <v>153</v>
      </c>
      <c r="H9" s="101" t="str">
        <f aca="false">IFERROR(INDEX(値リスト!$A$27:$A$33,MATCH(G9,値リスト!$B$27:$B$33,0)),"")</f>
        <v>catalyst</v>
      </c>
      <c r="I9" s="12" t="s">
        <v>361</v>
      </c>
      <c r="J9" s="102" t="s">
        <v>362</v>
      </c>
      <c r="K9" s="12" t="s">
        <v>341</v>
      </c>
      <c r="L9" s="1" t="n">
        <v>8</v>
      </c>
      <c r="M9" s="97" t="s">
        <v>342</v>
      </c>
      <c r="N9" s="1" t="n">
        <v>200</v>
      </c>
      <c r="O9" s="97" t="s">
        <v>342</v>
      </c>
      <c r="P9" s="1"/>
      <c r="Q9" s="1"/>
      <c r="R9" s="1"/>
      <c r="S9" s="1"/>
      <c r="T9" s="1"/>
      <c r="U9" s="1"/>
      <c r="V9" s="1"/>
      <c r="W9" s="1"/>
      <c r="X9" s="1"/>
      <c r="Y9" s="1"/>
      <c r="Z9" s="1"/>
      <c r="AA9" s="1"/>
      <c r="AB9" s="1"/>
      <c r="AC9" s="1"/>
      <c r="AD9" s="1"/>
      <c r="AE9" s="1"/>
    </row>
    <row r="10" customFormat="false" ht="36" hidden="false" customHeight="true" outlineLevel="0" collapsed="false">
      <c r="A10" s="10" t="s">
        <v>363</v>
      </c>
      <c r="B10" s="11" t="s">
        <v>364</v>
      </c>
      <c r="C10" s="98" t="s">
        <v>17</v>
      </c>
      <c r="D10" s="99" t="str">
        <f aca="false" t="array" ref="D10:D10">IFERROR(INDEX(値リスト!$A$3:$A$9,MATCH(C10,値リスト!$B$3:$B$9,0)),"")</f>
        <v>fungi</v>
      </c>
      <c r="E10" s="100" t="s">
        <v>92</v>
      </c>
      <c r="F10" s="101" t="str">
        <f aca="false">IFERROR(INDEX(値リスト!$A$14:$A$24,MATCH(E10,値リスト!$B$14:$B$24,0)),"")</f>
        <v>sedation</v>
      </c>
      <c r="G10" s="100" t="s">
        <v>133</v>
      </c>
      <c r="H10" s="101" t="str">
        <f aca="false">IFERROR(INDEX(値リスト!$A$27:$A$33,MATCH(G10,値リスト!$B$27:$B$33,0)),"")</f>
        <v>coagulate</v>
      </c>
      <c r="I10" s="12" t="s">
        <v>365</v>
      </c>
      <c r="J10" s="102" t="s">
        <v>366</v>
      </c>
      <c r="K10" s="12" t="s">
        <v>341</v>
      </c>
      <c r="L10" s="1" t="n">
        <v>8</v>
      </c>
      <c r="M10" s="97" t="s">
        <v>342</v>
      </c>
      <c r="N10" s="1" t="n">
        <v>200</v>
      </c>
      <c r="O10" s="97" t="s">
        <v>342</v>
      </c>
      <c r="P10" s="1"/>
      <c r="Q10" s="1"/>
      <c r="R10" s="1"/>
      <c r="S10" s="1"/>
      <c r="T10" s="1"/>
      <c r="U10" s="1"/>
      <c r="V10" s="1"/>
      <c r="W10" s="1"/>
      <c r="X10" s="1"/>
      <c r="Y10" s="1"/>
      <c r="Z10" s="1"/>
      <c r="AA10" s="1"/>
      <c r="AB10" s="1"/>
      <c r="AC10" s="1"/>
      <c r="AD10" s="1"/>
      <c r="AE10" s="1"/>
    </row>
    <row r="11" customFormat="false" ht="36" hidden="false" customHeight="true" outlineLevel="0" collapsed="false">
      <c r="A11" s="13" t="s">
        <v>367</v>
      </c>
      <c r="B11" s="14" t="s">
        <v>368</v>
      </c>
      <c r="C11" s="98" t="s">
        <v>17</v>
      </c>
      <c r="D11" s="99" t="str">
        <f aca="false" t="array" ref="D11:D11">IFERROR(INDEX(値リスト!$A$3:$A$9,MATCH(C11,値リスト!$B$3:$B$9,0)),"")</f>
        <v>fungi</v>
      </c>
      <c r="E11" s="100" t="s">
        <v>120</v>
      </c>
      <c r="F11" s="101" t="str">
        <f aca="false">IFERROR(INDEX(値リスト!$A$14:$A$24,MATCH(E11,値リスト!$B$14:$B$24,0)),"")</f>
        <v>poison</v>
      </c>
      <c r="G11" s="100" t="s">
        <v>153</v>
      </c>
      <c r="H11" s="101" t="str">
        <f aca="false">IFERROR(INDEX(値リスト!$A$27:$A$33,MATCH(G11,値リスト!$B$27:$B$33,0)),"")</f>
        <v>catalyst</v>
      </c>
      <c r="I11" s="12" t="s">
        <v>369</v>
      </c>
      <c r="J11" s="102" t="s">
        <v>370</v>
      </c>
      <c r="K11" s="12" t="s">
        <v>341</v>
      </c>
      <c r="L11" s="1" t="n">
        <v>8</v>
      </c>
      <c r="M11" s="97" t="s">
        <v>342</v>
      </c>
      <c r="O11" s="97" t="s">
        <v>342</v>
      </c>
      <c r="P11" s="1"/>
      <c r="Q11" s="1"/>
      <c r="R11" s="1"/>
      <c r="S11" s="1"/>
      <c r="T11" s="1"/>
      <c r="U11" s="1"/>
      <c r="V11" s="1"/>
      <c r="W11" s="1"/>
      <c r="X11" s="1"/>
      <c r="Y11" s="1"/>
      <c r="Z11" s="1"/>
      <c r="AA11" s="1"/>
      <c r="AB11" s="1"/>
      <c r="AC11" s="1"/>
      <c r="AD11" s="1"/>
      <c r="AE11" s="1"/>
    </row>
    <row r="12" customFormat="false" ht="36" hidden="false" customHeight="true" outlineLevel="0" collapsed="false">
      <c r="A12" s="10" t="s">
        <v>371</v>
      </c>
      <c r="B12" s="11" t="s">
        <v>372</v>
      </c>
      <c r="C12" s="98" t="s">
        <v>17</v>
      </c>
      <c r="D12" s="99" t="str">
        <f aca="false" t="array" ref="D12:D12">IFERROR(INDEX(値リスト!$A$3:$A$9,MATCH(C12,値リスト!$B$3:$B$9,0)),"")</f>
        <v>fungi</v>
      </c>
      <c r="E12" s="100" t="s">
        <v>125</v>
      </c>
      <c r="F12" s="101" t="str">
        <f aca="false">IFERROR(INDEX(値リスト!$A$14:$A$24,MATCH(E12,値リスト!$B$14:$B$24,0)),"")</f>
        <v>none</v>
      </c>
      <c r="G12" s="100" t="s">
        <v>147</v>
      </c>
      <c r="H12" s="101" t="str">
        <f aca="false">IFERROR(INDEX(値リスト!$A$27:$A$33,MATCH(G12,値リスト!$B$27:$B$33,0)),"")</f>
        <v>volatile</v>
      </c>
      <c r="I12" s="12" t="s">
        <v>373</v>
      </c>
      <c r="J12" s="102" t="s">
        <v>374</v>
      </c>
      <c r="K12" s="12" t="s">
        <v>341</v>
      </c>
      <c r="L12" s="1" t="n">
        <v>8</v>
      </c>
      <c r="M12" s="97" t="s">
        <v>342</v>
      </c>
      <c r="N12" s="1" t="n">
        <v>200</v>
      </c>
      <c r="O12" s="97" t="s">
        <v>342</v>
      </c>
      <c r="P12" s="1"/>
      <c r="Q12" s="1"/>
      <c r="R12" s="1"/>
      <c r="S12" s="1"/>
      <c r="T12" s="1"/>
      <c r="U12" s="1"/>
      <c r="V12" s="1"/>
      <c r="W12" s="1"/>
      <c r="X12" s="1"/>
      <c r="Y12" s="1"/>
      <c r="Z12" s="1"/>
      <c r="AA12" s="1"/>
      <c r="AB12" s="1"/>
      <c r="AC12" s="1"/>
      <c r="AD12" s="1"/>
      <c r="AE12" s="1"/>
    </row>
    <row r="13" customFormat="false" ht="36" hidden="false" customHeight="true" outlineLevel="0" collapsed="false">
      <c r="A13" s="13" t="s">
        <v>375</v>
      </c>
      <c r="B13" s="14" t="s">
        <v>376</v>
      </c>
      <c r="C13" s="98" t="s">
        <v>17</v>
      </c>
      <c r="D13" s="99" t="str">
        <f aca="false" t="array" ref="D13:D13">IFERROR(INDEX(値リスト!$A$3:$A$9,MATCH(C13,値リスト!$B$3:$B$9,0)),"")</f>
        <v>fungi</v>
      </c>
      <c r="E13" s="100" t="s">
        <v>77</v>
      </c>
      <c r="F13" s="101" t="str">
        <f aca="false">IFERROR(INDEX(値リスト!$A$14:$A$24,MATCH(E13,値リスト!$B$14:$B$24,0)),"")</f>
        <v>detox</v>
      </c>
      <c r="G13" s="100" t="s">
        <v>156</v>
      </c>
      <c r="H13" s="101" t="str">
        <f aca="false">IFERROR(INDEX(値リスト!$A$27:$A$33,MATCH(G13,値リスト!$B$27:$B$33,0)),"")</f>
        <v>neutralize</v>
      </c>
      <c r="I13" s="12" t="s">
        <v>377</v>
      </c>
      <c r="J13" s="102" t="s">
        <v>378</v>
      </c>
      <c r="K13" s="12" t="s">
        <v>341</v>
      </c>
      <c r="L13" s="1" t="n">
        <v>8</v>
      </c>
      <c r="M13" s="97" t="s">
        <v>342</v>
      </c>
      <c r="N13" s="1" t="n">
        <v>200</v>
      </c>
      <c r="O13" s="97" t="s">
        <v>342</v>
      </c>
      <c r="P13" s="1"/>
      <c r="Q13" s="1"/>
      <c r="R13" s="1"/>
      <c r="S13" s="1"/>
      <c r="T13" s="1"/>
      <c r="U13" s="1"/>
      <c r="V13" s="1"/>
      <c r="W13" s="1"/>
      <c r="X13" s="1"/>
      <c r="Y13" s="1"/>
      <c r="Z13" s="1"/>
      <c r="AA13" s="1"/>
      <c r="AB13" s="1"/>
      <c r="AC13" s="1"/>
      <c r="AD13" s="1"/>
      <c r="AE13" s="1"/>
    </row>
    <row r="14" customFormat="false" ht="36" hidden="false" customHeight="true" outlineLevel="0" collapsed="false">
      <c r="A14" s="10" t="s">
        <v>379</v>
      </c>
      <c r="B14" s="11" t="s">
        <v>380</v>
      </c>
      <c r="C14" s="98" t="s">
        <v>17</v>
      </c>
      <c r="D14" s="99" t="str">
        <f aca="false" t="array" ref="D14:D14">IFERROR(INDEX(値リスト!$A$3:$A$9,MATCH(C14,値リスト!$B$3:$B$9,0)),"")</f>
        <v>fungi</v>
      </c>
      <c r="E14" s="100" t="s">
        <v>77</v>
      </c>
      <c r="F14" s="101" t="str">
        <f aca="false">IFERROR(INDEX(値リスト!$A$14:$A$24,MATCH(E14,値リスト!$B$14:$B$24,0)),"")</f>
        <v>detox</v>
      </c>
      <c r="G14" s="100" t="s">
        <v>156</v>
      </c>
      <c r="H14" s="101" t="str">
        <f aca="false">IFERROR(INDEX(値リスト!$A$27:$A$33,MATCH(G14,値リスト!$B$27:$B$33,0)),"")</f>
        <v>neutralize</v>
      </c>
      <c r="I14" s="12" t="s">
        <v>381</v>
      </c>
      <c r="J14" s="102" t="s">
        <v>382</v>
      </c>
      <c r="K14" s="12" t="s">
        <v>341</v>
      </c>
      <c r="L14" s="1" t="n">
        <v>8</v>
      </c>
      <c r="M14" s="97" t="s">
        <v>342</v>
      </c>
      <c r="N14" s="1" t="n">
        <v>200</v>
      </c>
      <c r="O14" s="97" t="s">
        <v>342</v>
      </c>
      <c r="P14" s="1"/>
      <c r="Q14" s="1"/>
      <c r="R14" s="1"/>
      <c r="S14" s="1"/>
      <c r="T14" s="1"/>
      <c r="U14" s="1"/>
      <c r="V14" s="1"/>
      <c r="W14" s="1"/>
      <c r="X14" s="1"/>
      <c r="Y14" s="1"/>
      <c r="Z14" s="1"/>
      <c r="AA14" s="1"/>
      <c r="AB14" s="1"/>
      <c r="AC14" s="1"/>
      <c r="AD14" s="1"/>
      <c r="AE14" s="1"/>
    </row>
    <row r="15" customFormat="false" ht="36" hidden="false" customHeight="true" outlineLevel="0" collapsed="false">
      <c r="A15" s="13" t="s">
        <v>383</v>
      </c>
      <c r="B15" s="14" t="s">
        <v>384</v>
      </c>
      <c r="C15" s="98" t="s">
        <v>17</v>
      </c>
      <c r="D15" s="99" t="str">
        <f aca="false" t="array" ref="D15:D15">IFERROR(INDEX(値リスト!$A$3:$A$9,MATCH(C15,値リスト!$B$3:$B$9,0)),"")</f>
        <v>fungi</v>
      </c>
      <c r="E15" s="100" t="s">
        <v>125</v>
      </c>
      <c r="F15" s="101" t="str">
        <f aca="false">IFERROR(INDEX(値リスト!$A$14:$A$24,MATCH(E15,値リスト!$B$14:$B$24,0)),"")</f>
        <v>none</v>
      </c>
      <c r="G15" s="100" t="s">
        <v>133</v>
      </c>
      <c r="H15" s="101" t="str">
        <f aca="false">IFERROR(INDEX(値リスト!$A$27:$A$33,MATCH(G15,値リスト!$B$27:$B$33,0)),"")</f>
        <v>coagulate</v>
      </c>
      <c r="I15" s="12" t="s">
        <v>385</v>
      </c>
      <c r="J15" s="102" t="s">
        <v>386</v>
      </c>
      <c r="K15" s="12" t="s">
        <v>341</v>
      </c>
      <c r="L15" s="1" t="n">
        <v>8</v>
      </c>
      <c r="M15" s="97" t="s">
        <v>342</v>
      </c>
      <c r="N15" s="1" t="n">
        <v>200</v>
      </c>
      <c r="O15" s="97" t="s">
        <v>342</v>
      </c>
      <c r="P15" s="1"/>
      <c r="Q15" s="1"/>
      <c r="R15" s="1"/>
      <c r="S15" s="1"/>
      <c r="T15" s="1"/>
      <c r="U15" s="1"/>
      <c r="V15" s="1"/>
      <c r="W15" s="1"/>
      <c r="X15" s="1"/>
      <c r="Y15" s="1"/>
      <c r="Z15" s="1"/>
      <c r="AA15" s="1"/>
      <c r="AB15" s="1"/>
      <c r="AC15" s="1"/>
      <c r="AD15" s="1"/>
      <c r="AE15" s="1"/>
    </row>
    <row r="16" customFormat="false" ht="36" hidden="false" customHeight="true" outlineLevel="0" collapsed="false">
      <c r="A16" s="10" t="s">
        <v>387</v>
      </c>
      <c r="B16" s="11" t="s">
        <v>388</v>
      </c>
      <c r="C16" s="98" t="s">
        <v>17</v>
      </c>
      <c r="D16" s="99" t="str">
        <f aca="false" t="array" ref="D16:D16">IFERROR(INDEX(値リスト!$A$3:$A$9,MATCH(C16,値リスト!$B$3:$B$9,0)),"")</f>
        <v>fungi</v>
      </c>
      <c r="E16" s="100" t="s">
        <v>116</v>
      </c>
      <c r="F16" s="101" t="str">
        <f aca="false">IFERROR(INDEX(値リスト!$A$14:$A$24,MATCH(E16,値リスト!$B$14:$B$24,0)),"")</f>
        <v>insulation</v>
      </c>
      <c r="G16" s="100" t="s">
        <v>63</v>
      </c>
      <c r="H16" s="101" t="str">
        <f aca="false">IFERROR(INDEX(値リスト!$A$27:$A$33,MATCH(G16,値リスト!$B$27:$B$33,0)),"")</f>
        <v>preserve</v>
      </c>
      <c r="I16" s="12" t="s">
        <v>389</v>
      </c>
      <c r="J16" s="102" t="s">
        <v>390</v>
      </c>
      <c r="K16" s="12" t="s">
        <v>341</v>
      </c>
      <c r="L16" s="1" t="n">
        <v>8</v>
      </c>
      <c r="M16" s="97" t="s">
        <v>342</v>
      </c>
      <c r="O16" s="97" t="s">
        <v>342</v>
      </c>
      <c r="P16" s="1"/>
      <c r="Q16" s="1"/>
      <c r="R16" s="1"/>
      <c r="S16" s="1"/>
      <c r="T16" s="1"/>
      <c r="U16" s="1"/>
      <c r="V16" s="1"/>
      <c r="W16" s="1"/>
      <c r="X16" s="1"/>
      <c r="Y16" s="1"/>
      <c r="Z16" s="1"/>
      <c r="AA16" s="1"/>
      <c r="AB16" s="1"/>
      <c r="AC16" s="1"/>
      <c r="AD16" s="1"/>
      <c r="AE16" s="1"/>
    </row>
    <row r="17" customFormat="false" ht="36" hidden="false" customHeight="true" outlineLevel="0" collapsed="false">
      <c r="A17" s="13" t="s">
        <v>391</v>
      </c>
      <c r="B17" s="14" t="s">
        <v>392</v>
      </c>
      <c r="C17" s="98" t="s">
        <v>17</v>
      </c>
      <c r="D17" s="99" t="str">
        <f aca="false" t="array" ref="D17:D17">IFERROR(INDEX(値リスト!$A$3:$A$9,MATCH(C17,値リスト!$B$3:$B$9,0)),"")</f>
        <v>fungi</v>
      </c>
      <c r="E17" s="100" t="s">
        <v>86</v>
      </c>
      <c r="F17" s="101" t="str">
        <f aca="false">IFERROR(INDEX(値リスト!$A$14:$A$24,MATCH(E17,値リスト!$B$14:$B$24,0)),"")</f>
        <v>stimulation</v>
      </c>
      <c r="G17" s="100" t="s">
        <v>153</v>
      </c>
      <c r="H17" s="101" t="str">
        <f aca="false">IFERROR(INDEX(値リスト!$A$27:$A$33,MATCH(G17,値リスト!$B$27:$B$33,0)),"")</f>
        <v>catalyst</v>
      </c>
      <c r="I17" s="12" t="s">
        <v>393</v>
      </c>
      <c r="J17" s="102" t="s">
        <v>394</v>
      </c>
      <c r="K17" s="12" t="s">
        <v>341</v>
      </c>
      <c r="L17" s="1" t="n">
        <v>8</v>
      </c>
      <c r="M17" s="97" t="s">
        <v>342</v>
      </c>
      <c r="O17" s="97" t="s">
        <v>342</v>
      </c>
      <c r="P17" s="1"/>
      <c r="Q17" s="1"/>
      <c r="R17" s="1"/>
      <c r="S17" s="1"/>
      <c r="T17" s="1"/>
      <c r="U17" s="1"/>
      <c r="V17" s="1"/>
      <c r="W17" s="1"/>
      <c r="X17" s="1"/>
      <c r="Y17" s="1"/>
      <c r="Z17" s="1"/>
      <c r="AA17" s="1"/>
      <c r="AB17" s="1"/>
      <c r="AC17" s="1"/>
      <c r="AD17" s="1"/>
      <c r="AE17" s="1"/>
    </row>
    <row r="18" customFormat="false" ht="36" hidden="false" customHeight="true" outlineLevel="0" collapsed="false">
      <c r="A18" s="13"/>
      <c r="B18" s="14" t="s">
        <v>395</v>
      </c>
      <c r="C18" s="98" t="s">
        <v>17</v>
      </c>
      <c r="D18" s="99"/>
      <c r="E18" s="100" t="s">
        <v>116</v>
      </c>
      <c r="F18" s="101"/>
      <c r="G18" s="100" t="s">
        <v>153</v>
      </c>
      <c r="H18" s="101"/>
      <c r="I18" s="12" t="s">
        <v>396</v>
      </c>
      <c r="J18" s="102" t="s">
        <v>397</v>
      </c>
      <c r="P18" s="1"/>
      <c r="Q18" s="1"/>
      <c r="R18" s="1"/>
      <c r="S18" s="1"/>
      <c r="T18" s="1"/>
      <c r="U18" s="1"/>
      <c r="V18" s="1"/>
      <c r="W18" s="1"/>
      <c r="X18" s="1"/>
      <c r="Y18" s="1"/>
      <c r="Z18" s="1"/>
      <c r="AA18" s="1"/>
      <c r="AB18" s="1"/>
      <c r="AC18" s="1"/>
      <c r="AD18" s="1"/>
      <c r="AE18" s="1"/>
    </row>
    <row r="19" customFormat="false" ht="36" hidden="false" customHeight="true" outlineLevel="0" collapsed="false">
      <c r="A19" s="10" t="s">
        <v>398</v>
      </c>
      <c r="B19" s="11" t="s">
        <v>399</v>
      </c>
      <c r="C19" s="98" t="s">
        <v>9</v>
      </c>
      <c r="D19" s="99" t="str">
        <f aca="false" t="array" ref="D19:D19">IFERROR(INDEX(値リスト!$A$3:$A$9,MATCH(C19,値リスト!$B$3:$B$9,0)),"")</f>
        <v>flora</v>
      </c>
      <c r="E19" s="100" t="s">
        <v>77</v>
      </c>
      <c r="F19" s="101" t="str">
        <f aca="false">IFERROR(INDEX(値リスト!$A$14:$A$24,MATCH(E19,値リスト!$B$14:$B$24,0)),"")</f>
        <v>detox</v>
      </c>
      <c r="G19" s="100" t="s">
        <v>142</v>
      </c>
      <c r="H19" s="101" t="str">
        <f aca="false">IFERROR(INDEX(値リスト!$A$27:$A$33,MATCH(G19,値リスト!$B$27:$B$33,0)),"")</f>
        <v>separate</v>
      </c>
      <c r="I19" s="12" t="s">
        <v>400</v>
      </c>
      <c r="J19" s="102" t="s">
        <v>401</v>
      </c>
      <c r="K19" s="12" t="s">
        <v>341</v>
      </c>
      <c r="L19" s="1" t="n">
        <v>8</v>
      </c>
      <c r="M19" s="97" t="s">
        <v>342</v>
      </c>
      <c r="N19" s="1" t="n">
        <v>200</v>
      </c>
      <c r="O19" s="97" t="s">
        <v>342</v>
      </c>
      <c r="P19" s="1"/>
      <c r="Q19" s="1"/>
      <c r="R19" s="1"/>
      <c r="S19" s="1"/>
      <c r="T19" s="1"/>
      <c r="U19" s="1"/>
      <c r="V19" s="1"/>
      <c r="W19" s="1"/>
      <c r="X19" s="1"/>
      <c r="Y19" s="1"/>
      <c r="Z19" s="1"/>
      <c r="AA19" s="1"/>
      <c r="AB19" s="1"/>
      <c r="AC19" s="1"/>
      <c r="AD19" s="1"/>
      <c r="AE19" s="1"/>
    </row>
    <row r="20" customFormat="false" ht="36" hidden="false" customHeight="true" outlineLevel="0" collapsed="false">
      <c r="A20" s="13" t="s">
        <v>402</v>
      </c>
      <c r="B20" s="14" t="s">
        <v>403</v>
      </c>
      <c r="C20" s="98" t="s">
        <v>9</v>
      </c>
      <c r="D20" s="99" t="str">
        <f aca="false" t="array" ref="D20:D20">IFERROR(INDEX(値リスト!$A$3:$A$9,MATCH(C20,値リスト!$B$3:$B$9,0)),"")</f>
        <v>flora</v>
      </c>
      <c r="E20" s="100" t="s">
        <v>72</v>
      </c>
      <c r="F20" s="101" t="str">
        <f aca="false">IFERROR(INDEX(値リスト!$A$14:$A$24,MATCH(E20,値リスト!$B$14:$B$24,0)),"")</f>
        <v>healing</v>
      </c>
      <c r="G20" s="100" t="s">
        <v>150</v>
      </c>
      <c r="H20" s="101" t="str">
        <f aca="false">IFERROR(INDEX(値リスト!$A$27:$A$33,MATCH(G20,値リスト!$B$27:$B$33,0)),"")</f>
        <v>permeate</v>
      </c>
      <c r="I20" s="12" t="s">
        <v>404</v>
      </c>
      <c r="J20" s="102" t="s">
        <v>405</v>
      </c>
      <c r="K20" s="12" t="s">
        <v>341</v>
      </c>
      <c r="L20" s="1" t="n">
        <v>8</v>
      </c>
      <c r="M20" s="97" t="s">
        <v>342</v>
      </c>
      <c r="N20" s="1" t="n">
        <v>200</v>
      </c>
      <c r="O20" s="97" t="s">
        <v>342</v>
      </c>
      <c r="P20" s="1"/>
      <c r="Q20" s="1"/>
      <c r="R20" s="1"/>
      <c r="S20" s="1"/>
      <c r="T20" s="1"/>
      <c r="U20" s="1"/>
      <c r="V20" s="1"/>
      <c r="W20" s="1"/>
      <c r="X20" s="1"/>
      <c r="Y20" s="1"/>
      <c r="Z20" s="1"/>
      <c r="AA20" s="1"/>
      <c r="AB20" s="1"/>
      <c r="AC20" s="1"/>
      <c r="AD20" s="1"/>
      <c r="AE20" s="1"/>
    </row>
    <row r="21" customFormat="false" ht="36" hidden="false" customHeight="true" outlineLevel="0" collapsed="false">
      <c r="A21" s="10" t="s">
        <v>406</v>
      </c>
      <c r="B21" s="11" t="s">
        <v>407</v>
      </c>
      <c r="C21" s="98" t="s">
        <v>9</v>
      </c>
      <c r="D21" s="99" t="str">
        <f aca="false" t="array" ref="D21:D21">IFERROR(INDEX(値リスト!$A$3:$A$9,MATCH(C21,値リスト!$B$3:$B$9,0)),"")</f>
        <v>flora</v>
      </c>
      <c r="E21" s="100" t="s">
        <v>125</v>
      </c>
      <c r="F21" s="101" t="str">
        <f aca="false">IFERROR(INDEX(値リスト!$A$14:$A$24,MATCH(E21,値リスト!$B$14:$B$24,0)),"")</f>
        <v>none</v>
      </c>
      <c r="G21" s="100" t="s">
        <v>147</v>
      </c>
      <c r="H21" s="101" t="str">
        <f aca="false">IFERROR(INDEX(値リスト!$A$27:$A$33,MATCH(G21,値リスト!$B$27:$B$33,0)),"")</f>
        <v>volatile</v>
      </c>
      <c r="I21" s="12" t="s">
        <v>408</v>
      </c>
      <c r="J21" s="102" t="s">
        <v>409</v>
      </c>
      <c r="K21" s="12" t="s">
        <v>341</v>
      </c>
      <c r="L21" s="1" t="n">
        <v>8</v>
      </c>
      <c r="M21" s="97" t="s">
        <v>342</v>
      </c>
      <c r="N21" s="1" t="n">
        <v>200</v>
      </c>
      <c r="O21" s="97" t="s">
        <v>342</v>
      </c>
      <c r="P21" s="1"/>
      <c r="Q21" s="1"/>
      <c r="R21" s="1"/>
      <c r="S21" s="1"/>
      <c r="T21" s="1"/>
      <c r="U21" s="1"/>
      <c r="V21" s="1"/>
      <c r="W21" s="1"/>
      <c r="X21" s="1"/>
      <c r="Y21" s="1"/>
      <c r="Z21" s="1"/>
      <c r="AA21" s="1"/>
      <c r="AB21" s="1"/>
      <c r="AC21" s="1"/>
      <c r="AD21" s="1"/>
      <c r="AE21" s="1"/>
    </row>
    <row r="22" customFormat="false" ht="36" hidden="false" customHeight="true" outlineLevel="0" collapsed="false">
      <c r="A22" s="13" t="s">
        <v>410</v>
      </c>
      <c r="B22" s="14" t="s">
        <v>411</v>
      </c>
      <c r="C22" s="98" t="s">
        <v>9</v>
      </c>
      <c r="D22" s="99" t="str">
        <f aca="false" t="array" ref="D22:D22">IFERROR(INDEX(値リスト!$A$3:$A$9,MATCH(C22,値リスト!$B$3:$B$9,0)),"")</f>
        <v>flora</v>
      </c>
      <c r="E22" s="100" t="s">
        <v>92</v>
      </c>
      <c r="F22" s="101" t="str">
        <f aca="false">IFERROR(INDEX(値リスト!$A$14:$A$24,MATCH(E22,値リスト!$B$14:$B$24,0)),"")</f>
        <v>sedation</v>
      </c>
      <c r="G22" s="100" t="s">
        <v>133</v>
      </c>
      <c r="H22" s="101" t="str">
        <f aca="false">IFERROR(INDEX(値リスト!$A$27:$A$33,MATCH(G22,値リスト!$B$27:$B$33,0)),"")</f>
        <v>coagulate</v>
      </c>
      <c r="I22" s="12" t="s">
        <v>412</v>
      </c>
      <c r="J22" s="102" t="s">
        <v>413</v>
      </c>
      <c r="K22" s="12" t="s">
        <v>341</v>
      </c>
      <c r="L22" s="1" t="n">
        <v>8</v>
      </c>
      <c r="M22" s="97" t="s">
        <v>342</v>
      </c>
      <c r="N22" s="1" t="n">
        <v>200</v>
      </c>
      <c r="O22" s="97" t="s">
        <v>342</v>
      </c>
      <c r="P22" s="1"/>
      <c r="Q22" s="1"/>
      <c r="R22" s="1"/>
      <c r="S22" s="1"/>
      <c r="T22" s="1"/>
      <c r="U22" s="1"/>
      <c r="V22" s="1"/>
      <c r="W22" s="1"/>
      <c r="X22" s="1"/>
      <c r="Y22" s="1"/>
      <c r="Z22" s="1"/>
      <c r="AA22" s="1"/>
      <c r="AB22" s="1"/>
      <c r="AC22" s="1"/>
      <c r="AD22" s="1"/>
      <c r="AE22" s="1"/>
    </row>
    <row r="23" customFormat="false" ht="36" hidden="false" customHeight="true" outlineLevel="0" collapsed="false">
      <c r="A23" s="10" t="s">
        <v>414</v>
      </c>
      <c r="B23" s="11" t="s">
        <v>415</v>
      </c>
      <c r="C23" s="98" t="s">
        <v>9</v>
      </c>
      <c r="D23" s="99" t="str">
        <f aca="false" t="array" ref="D23:D23">IFERROR(INDEX(値リスト!$A$3:$A$9,MATCH(C23,値リスト!$B$3:$B$9,0)),"")</f>
        <v>flora</v>
      </c>
      <c r="E23" s="100" t="s">
        <v>72</v>
      </c>
      <c r="F23" s="101" t="str">
        <f aca="false">IFERROR(INDEX(値リスト!$A$14:$A$24,MATCH(E23,値リスト!$B$14:$B$24,0)),"")</f>
        <v>healing</v>
      </c>
      <c r="G23" s="100" t="s">
        <v>150</v>
      </c>
      <c r="H23" s="101" t="str">
        <f aca="false">IFERROR(INDEX(値リスト!$A$27:$A$33,MATCH(G23,値リスト!$B$27:$B$33,0)),"")</f>
        <v>permeate</v>
      </c>
      <c r="I23" s="12" t="s">
        <v>416</v>
      </c>
      <c r="J23" s="102" t="s">
        <v>417</v>
      </c>
      <c r="K23" s="12" t="s">
        <v>341</v>
      </c>
      <c r="L23" s="1" t="n">
        <v>8</v>
      </c>
      <c r="M23" s="97" t="s">
        <v>342</v>
      </c>
      <c r="N23" s="1" t="n">
        <v>200</v>
      </c>
      <c r="O23" s="97" t="s">
        <v>342</v>
      </c>
      <c r="P23" s="1"/>
      <c r="Q23" s="1"/>
      <c r="R23" s="1"/>
      <c r="S23" s="1"/>
      <c r="T23" s="1"/>
      <c r="U23" s="1"/>
      <c r="V23" s="1"/>
      <c r="W23" s="1"/>
      <c r="X23" s="1"/>
      <c r="Y23" s="1"/>
      <c r="Z23" s="1"/>
      <c r="AA23" s="1"/>
      <c r="AB23" s="1"/>
      <c r="AC23" s="1"/>
      <c r="AD23" s="1"/>
      <c r="AE23" s="1"/>
    </row>
    <row r="24" customFormat="false" ht="36" hidden="false" customHeight="true" outlineLevel="0" collapsed="false">
      <c r="A24" s="13" t="s">
        <v>418</v>
      </c>
      <c r="B24" s="14" t="s">
        <v>419</v>
      </c>
      <c r="C24" s="98" t="s">
        <v>9</v>
      </c>
      <c r="D24" s="99" t="str">
        <f aca="false" t="array" ref="D24:D24">IFERROR(INDEX(値リスト!$A$3:$A$9,MATCH(C24,値リスト!$B$3:$B$9,0)),"")</f>
        <v>flora</v>
      </c>
      <c r="E24" s="100" t="s">
        <v>116</v>
      </c>
      <c r="F24" s="101" t="str">
        <f aca="false">IFERROR(INDEX(値リスト!$A$14:$A$24,MATCH(E24,値リスト!$B$14:$B$24,0)),"")</f>
        <v>insulation</v>
      </c>
      <c r="G24" s="100" t="s">
        <v>133</v>
      </c>
      <c r="H24" s="101" t="str">
        <f aca="false">IFERROR(INDEX(値リスト!$A$27:$A$33,MATCH(G24,値リスト!$B$27:$B$33,0)),"")</f>
        <v>coagulate</v>
      </c>
      <c r="I24" s="12" t="s">
        <v>420</v>
      </c>
      <c r="J24" s="102" t="s">
        <v>421</v>
      </c>
      <c r="K24" s="12" t="s">
        <v>341</v>
      </c>
      <c r="L24" s="1" t="n">
        <v>8</v>
      </c>
      <c r="M24" s="97" t="s">
        <v>342</v>
      </c>
      <c r="N24" s="1" t="n">
        <v>200</v>
      </c>
      <c r="O24" s="97" t="s">
        <v>342</v>
      </c>
      <c r="P24" s="1"/>
      <c r="Q24" s="1"/>
      <c r="R24" s="1"/>
      <c r="S24" s="1"/>
      <c r="T24" s="1"/>
      <c r="U24" s="1"/>
      <c r="V24" s="1"/>
      <c r="W24" s="1"/>
      <c r="X24" s="1"/>
      <c r="Y24" s="1"/>
      <c r="Z24" s="1"/>
      <c r="AA24" s="1"/>
      <c r="AB24" s="1"/>
      <c r="AC24" s="1"/>
      <c r="AD24" s="1"/>
      <c r="AE24" s="1"/>
    </row>
    <row r="25" customFormat="false" ht="36" hidden="false" customHeight="true" outlineLevel="0" collapsed="false">
      <c r="A25" s="10" t="s">
        <v>422</v>
      </c>
      <c r="B25" s="11" t="s">
        <v>423</v>
      </c>
      <c r="C25" s="98" t="s">
        <v>9</v>
      </c>
      <c r="D25" s="99" t="str">
        <f aca="false" t="array" ref="D25:D25">IFERROR(INDEX(値リスト!$A$3:$A$9,MATCH(C25,値リスト!$B$3:$B$9,0)),"")</f>
        <v>flora</v>
      </c>
      <c r="E25" s="100" t="s">
        <v>80</v>
      </c>
      <c r="F25" s="101" t="str">
        <f aca="false">IFERROR(INDEX(値リスト!$A$14:$A$24,MATCH(E25,値リスト!$B$14:$B$24,0)),"")</f>
        <v>tonic</v>
      </c>
      <c r="G25" s="100" t="s">
        <v>63</v>
      </c>
      <c r="H25" s="101" t="str">
        <f aca="false">IFERROR(INDEX(値リスト!$A$27:$A$33,MATCH(G25,値リスト!$B$27:$B$33,0)),"")</f>
        <v>preserve</v>
      </c>
      <c r="I25" s="12" t="s">
        <v>424</v>
      </c>
      <c r="J25" s="102" t="s">
        <v>425</v>
      </c>
      <c r="K25" s="12" t="s">
        <v>341</v>
      </c>
      <c r="L25" s="1" t="n">
        <v>8</v>
      </c>
      <c r="M25" s="97" t="s">
        <v>342</v>
      </c>
      <c r="N25" s="1" t="n">
        <v>200</v>
      </c>
      <c r="O25" s="97" t="s">
        <v>342</v>
      </c>
      <c r="P25" s="1"/>
      <c r="Q25" s="1"/>
      <c r="R25" s="1"/>
      <c r="S25" s="1"/>
      <c r="T25" s="1"/>
      <c r="U25" s="1"/>
      <c r="V25" s="1"/>
      <c r="W25" s="1"/>
      <c r="X25" s="1"/>
      <c r="Y25" s="1"/>
      <c r="Z25" s="1"/>
      <c r="AA25" s="1"/>
      <c r="AB25" s="1"/>
      <c r="AC25" s="1"/>
      <c r="AD25" s="1"/>
      <c r="AE25" s="1"/>
    </row>
    <row r="26" customFormat="false" ht="36" hidden="false" customHeight="true" outlineLevel="0" collapsed="false">
      <c r="A26" s="13" t="s">
        <v>426</v>
      </c>
      <c r="B26" s="14" t="s">
        <v>427</v>
      </c>
      <c r="C26" s="98" t="s">
        <v>9</v>
      </c>
      <c r="D26" s="99" t="str">
        <f aca="false" t="array" ref="D26:D26">IFERROR(INDEX(値リスト!$A$3:$A$9,MATCH(C26,値リスト!$B$3:$B$9,0)),"")</f>
        <v>flora</v>
      </c>
      <c r="E26" s="100" t="s">
        <v>72</v>
      </c>
      <c r="F26" s="101" t="str">
        <f aca="false">IFERROR(INDEX(値リスト!$A$14:$A$24,MATCH(E26,値リスト!$B$14:$B$24,0)),"")</f>
        <v>healing</v>
      </c>
      <c r="G26" s="100" t="s">
        <v>150</v>
      </c>
      <c r="H26" s="101" t="str">
        <f aca="false">IFERROR(INDEX(値リスト!$A$27:$A$33,MATCH(G26,値リスト!$B$27:$B$33,0)),"")</f>
        <v>permeate</v>
      </c>
      <c r="I26" s="12" t="s">
        <v>428</v>
      </c>
      <c r="J26" s="102" t="s">
        <v>429</v>
      </c>
      <c r="K26" s="12" t="s">
        <v>341</v>
      </c>
      <c r="L26" s="1" t="n">
        <v>8</v>
      </c>
      <c r="M26" s="97" t="s">
        <v>342</v>
      </c>
      <c r="N26" s="1" t="n">
        <v>200</v>
      </c>
      <c r="O26" s="97" t="s">
        <v>342</v>
      </c>
      <c r="P26" s="1"/>
      <c r="Q26" s="1"/>
      <c r="R26" s="1"/>
      <c r="S26" s="1"/>
      <c r="T26" s="1"/>
      <c r="U26" s="1"/>
      <c r="V26" s="1"/>
      <c r="W26" s="1"/>
      <c r="X26" s="1"/>
      <c r="Y26" s="1"/>
      <c r="Z26" s="1"/>
      <c r="AA26" s="1"/>
      <c r="AB26" s="1"/>
      <c r="AC26" s="1"/>
      <c r="AD26" s="1"/>
      <c r="AE26" s="1"/>
    </row>
    <row r="27" customFormat="false" ht="36" hidden="false" customHeight="true" outlineLevel="0" collapsed="false">
      <c r="A27" s="10" t="s">
        <v>430</v>
      </c>
      <c r="B27" s="11" t="s">
        <v>431</v>
      </c>
      <c r="C27" s="98" t="s">
        <v>9</v>
      </c>
      <c r="D27" s="99" t="str">
        <f aca="false" t="array" ref="D27:D27">IFERROR(INDEX(値リスト!$A$3:$A$9,MATCH(C27,値リスト!$B$3:$B$9,0)),"")</f>
        <v>flora</v>
      </c>
      <c r="E27" s="100" t="s">
        <v>80</v>
      </c>
      <c r="F27" s="101" t="str">
        <f aca="false">IFERROR(INDEX(値リスト!$A$14:$A$24,MATCH(E27,値リスト!$B$14:$B$24,0)),"")</f>
        <v>tonic</v>
      </c>
      <c r="G27" s="100" t="s">
        <v>63</v>
      </c>
      <c r="H27" s="101" t="str">
        <f aca="false">IFERROR(INDEX(値リスト!$A$27:$A$33,MATCH(G27,値リスト!$B$27:$B$33,0)),"")</f>
        <v>preserve</v>
      </c>
      <c r="I27" s="12" t="s">
        <v>432</v>
      </c>
      <c r="J27" s="102" t="s">
        <v>433</v>
      </c>
      <c r="K27" s="12" t="s">
        <v>341</v>
      </c>
      <c r="L27" s="1" t="n">
        <v>8</v>
      </c>
      <c r="M27" s="97" t="s">
        <v>342</v>
      </c>
      <c r="N27" s="1" t="n">
        <v>200</v>
      </c>
      <c r="O27" s="97" t="s">
        <v>342</v>
      </c>
      <c r="P27" s="1"/>
      <c r="Q27" s="1"/>
      <c r="R27" s="1"/>
      <c r="S27" s="1"/>
      <c r="T27" s="1"/>
      <c r="U27" s="1"/>
      <c r="V27" s="1"/>
      <c r="W27" s="1"/>
      <c r="X27" s="1"/>
      <c r="Y27" s="1"/>
      <c r="Z27" s="1"/>
      <c r="AA27" s="1"/>
      <c r="AB27" s="1"/>
      <c r="AC27" s="1"/>
      <c r="AD27" s="1"/>
      <c r="AE27" s="1"/>
    </row>
    <row r="28" customFormat="false" ht="36" hidden="false" customHeight="true" outlineLevel="0" collapsed="false">
      <c r="A28" s="13" t="s">
        <v>434</v>
      </c>
      <c r="B28" s="14" t="s">
        <v>435</v>
      </c>
      <c r="C28" s="98" t="s">
        <v>9</v>
      </c>
      <c r="D28" s="99" t="str">
        <f aca="false" t="array" ref="D28:D28">IFERROR(INDEX(値リスト!$A$3:$A$9,MATCH(C28,値リスト!$B$3:$B$9,0)),"")</f>
        <v>flora</v>
      </c>
      <c r="E28" s="100" t="s">
        <v>110</v>
      </c>
      <c r="F28" s="101" t="str">
        <f aca="false">IFERROR(INDEX(値リスト!$A$14:$A$24,MATCH(E28,値リスト!$B$14:$B$24,0)),"")</f>
        <v>mystic</v>
      </c>
      <c r="G28" s="100" t="s">
        <v>63</v>
      </c>
      <c r="H28" s="101" t="str">
        <f aca="false">IFERROR(INDEX(値リスト!$A$27:$A$33,MATCH(G28,値リスト!$B$27:$B$33,0)),"")</f>
        <v>preserve</v>
      </c>
      <c r="I28" s="12" t="s">
        <v>436</v>
      </c>
      <c r="J28" s="102" t="s">
        <v>437</v>
      </c>
      <c r="K28" s="12" t="s">
        <v>341</v>
      </c>
      <c r="L28" s="1" t="n">
        <v>8</v>
      </c>
      <c r="M28" s="97" t="s">
        <v>342</v>
      </c>
      <c r="O28" s="97" t="s">
        <v>342</v>
      </c>
      <c r="P28" s="1"/>
      <c r="Q28" s="1"/>
      <c r="R28" s="1"/>
      <c r="S28" s="1"/>
      <c r="T28" s="1"/>
      <c r="U28" s="1"/>
      <c r="V28" s="1"/>
      <c r="W28" s="1"/>
      <c r="X28" s="1"/>
      <c r="Y28" s="1"/>
      <c r="Z28" s="1"/>
      <c r="AA28" s="1"/>
      <c r="AB28" s="1"/>
      <c r="AC28" s="1"/>
      <c r="AD28" s="1"/>
      <c r="AE28" s="1"/>
    </row>
    <row r="29" customFormat="false" ht="36" hidden="false" customHeight="true" outlineLevel="0" collapsed="false">
      <c r="A29" s="10" t="s">
        <v>438</v>
      </c>
      <c r="B29" s="11" t="s">
        <v>439</v>
      </c>
      <c r="C29" s="98" t="s">
        <v>9</v>
      </c>
      <c r="D29" s="99" t="str">
        <f aca="false" t="array" ref="D29:D29">IFERROR(INDEX(値リスト!$A$3:$A$9,MATCH(C29,値リスト!$B$3:$B$9,0)),"")</f>
        <v>flora</v>
      </c>
      <c r="E29" s="100" t="s">
        <v>98</v>
      </c>
      <c r="F29" s="101" t="str">
        <f aca="false">IFERROR(INDEX(値リスト!$A$14:$A$24,MATCH(E29,値リスト!$B$14:$B$24,0)),"")</f>
        <v>stable</v>
      </c>
      <c r="G29" s="100" t="s">
        <v>133</v>
      </c>
      <c r="H29" s="101" t="str">
        <f aca="false">IFERROR(INDEX(値リスト!$A$27:$A$33,MATCH(G29,値リスト!$B$27:$B$33,0)),"")</f>
        <v>coagulate</v>
      </c>
      <c r="I29" s="12" t="s">
        <v>440</v>
      </c>
      <c r="J29" s="102" t="s">
        <v>441</v>
      </c>
      <c r="K29" s="12" t="s">
        <v>341</v>
      </c>
      <c r="L29" s="1" t="n">
        <v>8</v>
      </c>
      <c r="M29" s="97" t="s">
        <v>342</v>
      </c>
      <c r="O29" s="97" t="s">
        <v>342</v>
      </c>
      <c r="P29" s="1"/>
      <c r="Q29" s="1"/>
      <c r="R29" s="1"/>
      <c r="S29" s="1"/>
      <c r="T29" s="1"/>
      <c r="U29" s="1"/>
      <c r="V29" s="1"/>
      <c r="W29" s="1"/>
      <c r="X29" s="1"/>
      <c r="Y29" s="1"/>
      <c r="Z29" s="1"/>
      <c r="AA29" s="1"/>
      <c r="AB29" s="1"/>
      <c r="AC29" s="1"/>
      <c r="AD29" s="1"/>
      <c r="AE29" s="1"/>
    </row>
    <row r="30" customFormat="false" ht="36" hidden="false" customHeight="true" outlineLevel="0" collapsed="false">
      <c r="A30" s="13" t="s">
        <v>442</v>
      </c>
      <c r="B30" s="14" t="s">
        <v>443</v>
      </c>
      <c r="C30" s="98" t="s">
        <v>9</v>
      </c>
      <c r="D30" s="99" t="str">
        <f aca="false" t="array" ref="D30:D30">IFERROR(INDEX(値リスト!$A$3:$A$9,MATCH(C30,値リスト!$B$3:$B$9,0)),"")</f>
        <v>flora</v>
      </c>
      <c r="E30" s="100" t="s">
        <v>120</v>
      </c>
      <c r="F30" s="101" t="str">
        <f aca="false">IFERROR(INDEX(値リスト!$A$14:$A$24,MATCH(E30,値リスト!$B$14:$B$24,0)),"")</f>
        <v>poison</v>
      </c>
      <c r="G30" s="100" t="s">
        <v>142</v>
      </c>
      <c r="H30" s="101" t="str">
        <f aca="false">IFERROR(INDEX(値リスト!$A$27:$A$33,MATCH(G30,値リスト!$B$27:$B$33,0)),"")</f>
        <v>separate</v>
      </c>
      <c r="I30" s="12" t="s">
        <v>444</v>
      </c>
      <c r="J30" s="102" t="s">
        <v>445</v>
      </c>
      <c r="K30" s="12" t="s">
        <v>341</v>
      </c>
      <c r="L30" s="1" t="n">
        <v>8</v>
      </c>
      <c r="M30" s="97" t="s">
        <v>342</v>
      </c>
      <c r="O30" s="97" t="s">
        <v>342</v>
      </c>
      <c r="P30" s="1"/>
      <c r="Q30" s="1"/>
      <c r="R30" s="1"/>
      <c r="S30" s="1"/>
      <c r="T30" s="1"/>
      <c r="U30" s="1"/>
      <c r="V30" s="1"/>
      <c r="W30" s="1"/>
      <c r="X30" s="1"/>
      <c r="Y30" s="1"/>
      <c r="Z30" s="1"/>
      <c r="AA30" s="1"/>
      <c r="AB30" s="1"/>
      <c r="AC30" s="1"/>
      <c r="AD30" s="1"/>
      <c r="AE30" s="1"/>
    </row>
    <row r="31" customFormat="false" ht="36" hidden="false" customHeight="true" outlineLevel="0" collapsed="false">
      <c r="A31" s="10" t="s">
        <v>446</v>
      </c>
      <c r="B31" s="11" t="s">
        <v>447</v>
      </c>
      <c r="C31" s="98" t="s">
        <v>33</v>
      </c>
      <c r="D31" s="99" t="str">
        <f aca="false" t="array" ref="D31:D31">IFERROR(INDEX(値リスト!$A$3:$A$9,MATCH(C31,値リスト!$B$3:$B$9,0)),"")</f>
        <v>mineral</v>
      </c>
      <c r="E31" s="100" t="s">
        <v>92</v>
      </c>
      <c r="F31" s="101" t="str">
        <f aca="false">IFERROR(INDEX(値リスト!$A$14:$A$24,MATCH(E31,値リスト!$B$14:$B$24,0)),"")</f>
        <v>sedation</v>
      </c>
      <c r="G31" s="100" t="s">
        <v>63</v>
      </c>
      <c r="H31" s="101" t="str">
        <f aca="false">IFERROR(INDEX(値リスト!$A$27:$A$33,MATCH(G31,値リスト!$B$27:$B$33,0)),"")</f>
        <v>preserve</v>
      </c>
      <c r="I31" s="12" t="s">
        <v>448</v>
      </c>
      <c r="J31" s="102" t="s">
        <v>449</v>
      </c>
      <c r="K31" s="12" t="s">
        <v>341</v>
      </c>
      <c r="L31" s="1" t="n">
        <v>8</v>
      </c>
      <c r="M31" s="97" t="s">
        <v>342</v>
      </c>
      <c r="N31" s="1" t="n">
        <v>200</v>
      </c>
      <c r="O31" s="97" t="s">
        <v>342</v>
      </c>
      <c r="P31" s="1"/>
      <c r="Q31" s="1"/>
      <c r="R31" s="1"/>
      <c r="S31" s="1"/>
      <c r="T31" s="1"/>
      <c r="U31" s="1"/>
      <c r="V31" s="1"/>
      <c r="W31" s="1"/>
      <c r="X31" s="1"/>
      <c r="Y31" s="1"/>
      <c r="Z31" s="1"/>
      <c r="AA31" s="1"/>
      <c r="AB31" s="1"/>
      <c r="AC31" s="1"/>
      <c r="AD31" s="1"/>
      <c r="AE31" s="1"/>
    </row>
    <row r="32" customFormat="false" ht="36" hidden="false" customHeight="true" outlineLevel="0" collapsed="false">
      <c r="A32" s="13" t="s">
        <v>450</v>
      </c>
      <c r="B32" s="14" t="s">
        <v>451</v>
      </c>
      <c r="C32" s="98" t="s">
        <v>33</v>
      </c>
      <c r="D32" s="99" t="str">
        <f aca="false" t="array" ref="D32:D32">IFERROR(INDEX(値リスト!$A$3:$A$9,MATCH(C32,値リスト!$B$3:$B$9,0)),"")</f>
        <v>mineral</v>
      </c>
      <c r="E32" s="100" t="s">
        <v>86</v>
      </c>
      <c r="F32" s="101" t="str">
        <f aca="false">IFERROR(INDEX(値リスト!$A$14:$A$24,MATCH(E32,値リスト!$B$14:$B$24,0)),"")</f>
        <v>stimulation</v>
      </c>
      <c r="G32" s="100" t="s">
        <v>147</v>
      </c>
      <c r="H32" s="101" t="str">
        <f aca="false">IFERROR(INDEX(値リスト!$A$27:$A$33,MATCH(G32,値リスト!$B$27:$B$33,0)),"")</f>
        <v>volatile</v>
      </c>
      <c r="I32" s="12" t="s">
        <v>452</v>
      </c>
      <c r="J32" s="102" t="s">
        <v>453</v>
      </c>
      <c r="K32" s="12" t="s">
        <v>341</v>
      </c>
      <c r="L32" s="1" t="n">
        <v>8</v>
      </c>
      <c r="M32" s="97" t="s">
        <v>342</v>
      </c>
      <c r="N32" s="1" t="n">
        <v>200</v>
      </c>
      <c r="O32" s="97" t="s">
        <v>342</v>
      </c>
      <c r="P32" s="1"/>
      <c r="Q32" s="1"/>
      <c r="R32" s="1"/>
      <c r="S32" s="1"/>
      <c r="T32" s="1"/>
      <c r="U32" s="1"/>
      <c r="V32" s="1"/>
      <c r="W32" s="1"/>
      <c r="X32" s="1"/>
      <c r="Y32" s="1"/>
      <c r="Z32" s="1"/>
      <c r="AA32" s="1"/>
      <c r="AB32" s="1"/>
      <c r="AC32" s="1"/>
      <c r="AD32" s="1"/>
      <c r="AE32" s="1"/>
    </row>
    <row r="33" customFormat="false" ht="36" hidden="false" customHeight="true" outlineLevel="0" collapsed="false">
      <c r="A33" s="10" t="s">
        <v>454</v>
      </c>
      <c r="B33" s="11" t="s">
        <v>455</v>
      </c>
      <c r="C33" s="98" t="s">
        <v>33</v>
      </c>
      <c r="D33" s="99" t="str">
        <f aca="false" t="array" ref="D33:D33">IFERROR(INDEX(値リスト!$A$3:$A$9,MATCH(C33,値リスト!$B$3:$B$9,0)),"")</f>
        <v>mineral</v>
      </c>
      <c r="E33" s="100" t="s">
        <v>77</v>
      </c>
      <c r="F33" s="101" t="str">
        <f aca="false">IFERROR(INDEX(値リスト!$A$14:$A$24,MATCH(E33,値リスト!$B$14:$B$24,0)),"")</f>
        <v>detox</v>
      </c>
      <c r="G33" s="100" t="s">
        <v>142</v>
      </c>
      <c r="H33" s="101" t="str">
        <f aca="false">IFERROR(INDEX(値リスト!$A$27:$A$33,MATCH(G33,値リスト!$B$27:$B$33,0)),"")</f>
        <v>separate</v>
      </c>
      <c r="I33" s="12" t="s">
        <v>456</v>
      </c>
      <c r="J33" s="102" t="s">
        <v>457</v>
      </c>
      <c r="K33" s="12" t="s">
        <v>341</v>
      </c>
      <c r="L33" s="1" t="n">
        <v>8</v>
      </c>
      <c r="M33" s="97" t="s">
        <v>342</v>
      </c>
      <c r="N33" s="1" t="n">
        <v>200</v>
      </c>
      <c r="O33" s="97" t="s">
        <v>342</v>
      </c>
      <c r="P33" s="1"/>
      <c r="Q33" s="1"/>
      <c r="R33" s="1"/>
      <c r="S33" s="1"/>
      <c r="T33" s="1"/>
      <c r="U33" s="1"/>
      <c r="V33" s="1"/>
      <c r="W33" s="1"/>
      <c r="X33" s="1"/>
      <c r="Y33" s="1"/>
      <c r="Z33" s="1"/>
      <c r="AA33" s="1"/>
      <c r="AB33" s="1"/>
      <c r="AC33" s="1"/>
      <c r="AD33" s="1"/>
      <c r="AE33" s="1"/>
    </row>
    <row r="34" customFormat="false" ht="36" hidden="false" customHeight="true" outlineLevel="0" collapsed="false">
      <c r="A34" s="13" t="s">
        <v>458</v>
      </c>
      <c r="B34" s="14" t="s">
        <v>459</v>
      </c>
      <c r="C34" s="98" t="s">
        <v>33</v>
      </c>
      <c r="D34" s="99" t="str">
        <f aca="false" t="array" ref="D34:D34">IFERROR(INDEX(値リスト!$A$3:$A$9,MATCH(C34,値リスト!$B$3:$B$9,0)),"")</f>
        <v>mineral</v>
      </c>
      <c r="E34" s="100" t="s">
        <v>80</v>
      </c>
      <c r="F34" s="101" t="str">
        <f aca="false">IFERROR(INDEX(値リスト!$A$14:$A$24,MATCH(E34,値リスト!$B$14:$B$24,0)),"")</f>
        <v>tonic</v>
      </c>
      <c r="G34" s="100" t="s">
        <v>153</v>
      </c>
      <c r="H34" s="101" t="str">
        <f aca="false">IFERROR(INDEX(値リスト!$A$27:$A$33,MATCH(G34,値リスト!$B$27:$B$33,0)),"")</f>
        <v>catalyst</v>
      </c>
      <c r="I34" s="12" t="s">
        <v>460</v>
      </c>
      <c r="J34" s="102" t="s">
        <v>461</v>
      </c>
      <c r="K34" s="12" t="s">
        <v>341</v>
      </c>
      <c r="L34" s="1" t="n">
        <v>8</v>
      </c>
      <c r="M34" s="97" t="s">
        <v>342</v>
      </c>
      <c r="N34" s="1" t="n">
        <v>200</v>
      </c>
      <c r="O34" s="97" t="s">
        <v>342</v>
      </c>
      <c r="P34" s="1"/>
      <c r="Q34" s="1"/>
      <c r="R34" s="1"/>
      <c r="S34" s="1"/>
      <c r="T34" s="1"/>
      <c r="U34" s="1"/>
      <c r="V34" s="1"/>
      <c r="W34" s="1"/>
      <c r="X34" s="1"/>
      <c r="Y34" s="1"/>
      <c r="Z34" s="1"/>
      <c r="AA34" s="1"/>
      <c r="AB34" s="1"/>
      <c r="AC34" s="1"/>
      <c r="AD34" s="1"/>
      <c r="AE34" s="1"/>
    </row>
    <row r="35" customFormat="false" ht="36" hidden="false" customHeight="true" outlineLevel="0" collapsed="false">
      <c r="A35" s="10" t="s">
        <v>462</v>
      </c>
      <c r="B35" s="11" t="s">
        <v>463</v>
      </c>
      <c r="C35" s="98" t="s">
        <v>33</v>
      </c>
      <c r="D35" s="99" t="str">
        <f aca="false" t="array" ref="D35:D35">IFERROR(INDEX(値リスト!$A$3:$A$9,MATCH(C35,値リスト!$B$3:$B$9,0)),"")</f>
        <v>mineral</v>
      </c>
      <c r="E35" s="100" t="s">
        <v>77</v>
      </c>
      <c r="F35" s="101" t="str">
        <f aca="false">IFERROR(INDEX(値リスト!$A$14:$A$24,MATCH(E35,値リスト!$B$14:$B$24,0)),"")</f>
        <v>detox</v>
      </c>
      <c r="G35" s="100" t="s">
        <v>142</v>
      </c>
      <c r="H35" s="101" t="str">
        <f aca="false">IFERROR(INDEX(値リスト!$A$27:$A$33,MATCH(G35,値リスト!$B$27:$B$33,0)),"")</f>
        <v>separate</v>
      </c>
      <c r="I35" s="12" t="s">
        <v>464</v>
      </c>
      <c r="J35" s="102" t="s">
        <v>465</v>
      </c>
      <c r="K35" s="12" t="s">
        <v>341</v>
      </c>
      <c r="L35" s="1" t="n">
        <v>8</v>
      </c>
      <c r="M35" s="97" t="s">
        <v>342</v>
      </c>
      <c r="N35" s="1" t="n">
        <v>200</v>
      </c>
      <c r="O35" s="97" t="s">
        <v>342</v>
      </c>
      <c r="P35" s="1"/>
      <c r="Q35" s="1"/>
      <c r="R35" s="1"/>
      <c r="S35" s="1"/>
      <c r="T35" s="1"/>
      <c r="U35" s="1"/>
      <c r="V35" s="1"/>
      <c r="W35" s="1"/>
      <c r="X35" s="1"/>
      <c r="Y35" s="1"/>
      <c r="Z35" s="1"/>
      <c r="AA35" s="1"/>
      <c r="AB35" s="1"/>
      <c r="AC35" s="1"/>
      <c r="AD35" s="1"/>
      <c r="AE35" s="1"/>
    </row>
    <row r="36" customFormat="false" ht="36" hidden="false" customHeight="true" outlineLevel="0" collapsed="false">
      <c r="A36" s="13" t="s">
        <v>466</v>
      </c>
      <c r="B36" s="14" t="s">
        <v>467</v>
      </c>
      <c r="C36" s="98" t="s">
        <v>33</v>
      </c>
      <c r="D36" s="99" t="str">
        <f aca="false" t="array" ref="D36:D36">IFERROR(INDEX(値リスト!$A$3:$A$9,MATCH(C36,値リスト!$B$3:$B$9,0)),"")</f>
        <v>mineral</v>
      </c>
      <c r="E36" s="100" t="s">
        <v>92</v>
      </c>
      <c r="F36" s="101" t="str">
        <f aca="false">IFERROR(INDEX(値リスト!$A$14:$A$24,MATCH(E36,値リスト!$B$14:$B$24,0)),"")</f>
        <v>sedation</v>
      </c>
      <c r="G36" s="100" t="s">
        <v>63</v>
      </c>
      <c r="H36" s="101" t="str">
        <f aca="false">IFERROR(INDEX(値リスト!$A$27:$A$33,MATCH(G36,値リスト!$B$27:$B$33,0)),"")</f>
        <v>preserve</v>
      </c>
      <c r="I36" s="12" t="s">
        <v>468</v>
      </c>
      <c r="J36" s="102" t="s">
        <v>469</v>
      </c>
      <c r="K36" s="12" t="s">
        <v>341</v>
      </c>
      <c r="L36" s="1" t="n">
        <v>8</v>
      </c>
      <c r="M36" s="97" t="s">
        <v>342</v>
      </c>
      <c r="O36" s="97" t="s">
        <v>342</v>
      </c>
      <c r="P36" s="1"/>
      <c r="Q36" s="1"/>
      <c r="R36" s="1"/>
      <c r="S36" s="1"/>
      <c r="T36" s="1"/>
      <c r="U36" s="1"/>
      <c r="V36" s="1"/>
      <c r="W36" s="1"/>
      <c r="X36" s="1"/>
      <c r="Y36" s="1"/>
      <c r="Z36" s="1"/>
      <c r="AA36" s="1"/>
      <c r="AB36" s="1"/>
      <c r="AC36" s="1"/>
      <c r="AD36" s="1"/>
      <c r="AE36" s="1"/>
    </row>
    <row r="37" customFormat="false" ht="36" hidden="false" customHeight="true" outlineLevel="0" collapsed="false">
      <c r="A37" s="10" t="s">
        <v>470</v>
      </c>
      <c r="B37" s="11" t="s">
        <v>471</v>
      </c>
      <c r="C37" s="98" t="s">
        <v>33</v>
      </c>
      <c r="D37" s="99" t="str">
        <f aca="false" t="array" ref="D37:D37">IFERROR(INDEX(値リスト!$A$3:$A$9,MATCH(C37,値リスト!$B$3:$B$9,0)),"")</f>
        <v>mineral</v>
      </c>
      <c r="E37" s="100" t="s">
        <v>98</v>
      </c>
      <c r="F37" s="101" t="str">
        <f aca="false">IFERROR(INDEX(値リスト!$A$14:$A$24,MATCH(E37,値リスト!$B$14:$B$24,0)),"")</f>
        <v>stable</v>
      </c>
      <c r="G37" s="100" t="s">
        <v>153</v>
      </c>
      <c r="H37" s="101" t="str">
        <f aca="false">IFERROR(INDEX(値リスト!$A$27:$A$33,MATCH(G37,値リスト!$B$27:$B$33,0)),"")</f>
        <v>catalyst</v>
      </c>
      <c r="I37" s="12" t="s">
        <v>472</v>
      </c>
      <c r="J37" s="102" t="s">
        <v>473</v>
      </c>
      <c r="K37" s="12" t="s">
        <v>341</v>
      </c>
      <c r="L37" s="1" t="n">
        <v>8</v>
      </c>
      <c r="M37" s="97" t="s">
        <v>342</v>
      </c>
      <c r="N37" s="1" t="n">
        <v>200</v>
      </c>
      <c r="O37" s="97" t="s">
        <v>342</v>
      </c>
      <c r="P37" s="1"/>
      <c r="Q37" s="1"/>
      <c r="R37" s="1"/>
      <c r="S37" s="1"/>
      <c r="T37" s="1"/>
      <c r="U37" s="1"/>
      <c r="V37" s="1"/>
      <c r="W37" s="1"/>
      <c r="X37" s="1"/>
      <c r="Y37" s="1"/>
      <c r="Z37" s="1"/>
      <c r="AA37" s="1"/>
      <c r="AB37" s="1"/>
      <c r="AC37" s="1"/>
      <c r="AD37" s="1"/>
      <c r="AE37" s="1"/>
    </row>
    <row r="38" customFormat="false" ht="36" hidden="false" customHeight="true" outlineLevel="0" collapsed="false">
      <c r="A38" s="13" t="s">
        <v>474</v>
      </c>
      <c r="B38" s="14" t="s">
        <v>475</v>
      </c>
      <c r="C38" s="98" t="s">
        <v>33</v>
      </c>
      <c r="D38" s="99" t="str">
        <f aca="false" t="array" ref="D38:D38">IFERROR(INDEX(値リスト!$A$3:$A$9,MATCH(C38,値リスト!$B$3:$B$9,0)),"")</f>
        <v>mineral</v>
      </c>
      <c r="E38" s="100" t="s">
        <v>116</v>
      </c>
      <c r="F38" s="101" t="str">
        <f aca="false">IFERROR(INDEX(値リスト!$A$14:$A$24,MATCH(E38,値リスト!$B$14:$B$24,0)),"")</f>
        <v>insulation</v>
      </c>
      <c r="G38" s="100" t="s">
        <v>63</v>
      </c>
      <c r="H38" s="101" t="str">
        <f aca="false">IFERROR(INDEX(値リスト!$A$27:$A$33,MATCH(G38,値リスト!$B$27:$B$33,0)),"")</f>
        <v>preserve</v>
      </c>
      <c r="I38" s="12" t="s">
        <v>476</v>
      </c>
      <c r="J38" s="102" t="s">
        <v>477</v>
      </c>
      <c r="K38" s="12" t="s">
        <v>341</v>
      </c>
      <c r="L38" s="1" t="n">
        <v>8</v>
      </c>
      <c r="M38" s="97" t="s">
        <v>342</v>
      </c>
      <c r="N38" s="1" t="n">
        <v>200</v>
      </c>
      <c r="O38" s="97" t="s">
        <v>342</v>
      </c>
      <c r="P38" s="1"/>
      <c r="Q38" s="1"/>
      <c r="R38" s="1"/>
      <c r="S38" s="1"/>
      <c r="T38" s="1"/>
      <c r="U38" s="1"/>
      <c r="V38" s="1"/>
      <c r="W38" s="1"/>
      <c r="X38" s="1"/>
      <c r="Y38" s="1"/>
      <c r="Z38" s="1"/>
      <c r="AA38" s="1"/>
      <c r="AB38" s="1"/>
      <c r="AC38" s="1"/>
      <c r="AD38" s="1"/>
      <c r="AE38" s="1"/>
    </row>
    <row r="39" customFormat="false" ht="36" hidden="false" customHeight="true" outlineLevel="0" collapsed="false">
      <c r="A39" s="10" t="s">
        <v>478</v>
      </c>
      <c r="B39" s="11" t="s">
        <v>479</v>
      </c>
      <c r="C39" s="98" t="s">
        <v>33</v>
      </c>
      <c r="D39" s="99" t="str">
        <f aca="false" t="array" ref="D39:D39">IFERROR(INDEX(値リスト!$A$3:$A$9,MATCH(C39,値リスト!$B$3:$B$9,0)),"")</f>
        <v>mineral</v>
      </c>
      <c r="E39" s="100" t="s">
        <v>80</v>
      </c>
      <c r="F39" s="101" t="str">
        <f aca="false">IFERROR(INDEX(値リスト!$A$14:$A$24,MATCH(E39,値リスト!$B$14:$B$24,0)),"")</f>
        <v>tonic</v>
      </c>
      <c r="G39" s="100" t="s">
        <v>150</v>
      </c>
      <c r="H39" s="101" t="str">
        <f aca="false">IFERROR(INDEX(値リスト!$A$27:$A$33,MATCH(G39,値リスト!$B$27:$B$33,0)),"")</f>
        <v>permeate</v>
      </c>
      <c r="I39" s="12" t="s">
        <v>480</v>
      </c>
      <c r="J39" s="102" t="s">
        <v>481</v>
      </c>
      <c r="K39" s="12" t="s">
        <v>341</v>
      </c>
      <c r="L39" s="1" t="n">
        <v>8</v>
      </c>
      <c r="M39" s="97" t="s">
        <v>342</v>
      </c>
      <c r="N39" s="1" t="n">
        <v>200</v>
      </c>
      <c r="O39" s="97" t="s">
        <v>342</v>
      </c>
      <c r="P39" s="1"/>
      <c r="Q39" s="1"/>
      <c r="R39" s="1"/>
      <c r="S39" s="1"/>
      <c r="T39" s="1"/>
      <c r="U39" s="1"/>
      <c r="V39" s="1"/>
      <c r="W39" s="1"/>
      <c r="X39" s="1"/>
      <c r="Y39" s="1"/>
      <c r="Z39" s="1"/>
      <c r="AA39" s="1"/>
      <c r="AB39" s="1"/>
      <c r="AC39" s="1"/>
      <c r="AD39" s="1"/>
      <c r="AE39" s="1"/>
    </row>
    <row r="40" customFormat="false" ht="36" hidden="false" customHeight="true" outlineLevel="0" collapsed="false">
      <c r="A40" s="13" t="s">
        <v>482</v>
      </c>
      <c r="B40" s="14" t="s">
        <v>483</v>
      </c>
      <c r="C40" s="98" t="s">
        <v>33</v>
      </c>
      <c r="D40" s="99" t="str">
        <f aca="false" t="array" ref="D40:D40">IFERROR(INDEX(値リスト!$A$3:$A$9,MATCH(C40,値リスト!$B$3:$B$9,0)),"")</f>
        <v>mineral</v>
      </c>
      <c r="E40" s="100" t="s">
        <v>98</v>
      </c>
      <c r="F40" s="101" t="str">
        <f aca="false">IFERROR(INDEX(値リスト!$A$14:$A$24,MATCH(E40,値リスト!$B$14:$B$24,0)),"")</f>
        <v>stable</v>
      </c>
      <c r="G40" s="100" t="s">
        <v>133</v>
      </c>
      <c r="H40" s="101" t="str">
        <f aca="false">IFERROR(INDEX(値リスト!$A$27:$A$33,MATCH(G40,値リスト!$B$27:$B$33,0)),"")</f>
        <v>coagulate</v>
      </c>
      <c r="I40" s="12" t="s">
        <v>484</v>
      </c>
      <c r="J40" s="102" t="s">
        <v>485</v>
      </c>
      <c r="K40" s="12" t="s">
        <v>341</v>
      </c>
      <c r="L40" s="1" t="n">
        <v>8</v>
      </c>
      <c r="M40" s="97" t="s">
        <v>342</v>
      </c>
      <c r="O40" s="97" t="s">
        <v>342</v>
      </c>
      <c r="P40" s="1"/>
      <c r="Q40" s="1"/>
      <c r="R40" s="1"/>
      <c r="S40" s="1"/>
      <c r="T40" s="1"/>
      <c r="U40" s="1"/>
      <c r="V40" s="1"/>
      <c r="W40" s="1"/>
      <c r="X40" s="1"/>
      <c r="Y40" s="1"/>
      <c r="Z40" s="1"/>
      <c r="AA40" s="1"/>
      <c r="AB40" s="1"/>
      <c r="AC40" s="1"/>
      <c r="AD40" s="1"/>
      <c r="AE40" s="1"/>
    </row>
    <row r="41" customFormat="false" ht="36" hidden="false" customHeight="true" outlineLevel="0" collapsed="false">
      <c r="A41" s="10" t="s">
        <v>486</v>
      </c>
      <c r="B41" s="11" t="s">
        <v>487</v>
      </c>
      <c r="C41" s="98" t="s">
        <v>33</v>
      </c>
      <c r="D41" s="99" t="str">
        <f aca="false" t="array" ref="D41:D41">IFERROR(INDEX(値リスト!$A$3:$A$9,MATCH(C41,値リスト!$B$3:$B$9,0)),"")</f>
        <v>mineral</v>
      </c>
      <c r="E41" s="100" t="s">
        <v>77</v>
      </c>
      <c r="F41" s="101" t="str">
        <f aca="false">IFERROR(INDEX(値リスト!$A$14:$A$24,MATCH(E41,値リスト!$B$14:$B$24,0)),"")</f>
        <v>detox</v>
      </c>
      <c r="G41" s="100" t="s">
        <v>156</v>
      </c>
      <c r="H41" s="101" t="str">
        <f aca="false">IFERROR(INDEX(値リスト!$A$27:$A$33,MATCH(G41,値リスト!$B$27:$B$33,0)),"")</f>
        <v>neutralize</v>
      </c>
      <c r="I41" s="12" t="s">
        <v>488</v>
      </c>
      <c r="J41" s="102" t="s">
        <v>489</v>
      </c>
      <c r="K41" s="12" t="s">
        <v>341</v>
      </c>
      <c r="L41" s="1" t="n">
        <v>8</v>
      </c>
      <c r="M41" s="97" t="s">
        <v>342</v>
      </c>
      <c r="O41" s="97" t="s">
        <v>342</v>
      </c>
      <c r="P41" s="1"/>
      <c r="Q41" s="1"/>
      <c r="R41" s="1"/>
      <c r="S41" s="1"/>
      <c r="T41" s="1"/>
      <c r="U41" s="1"/>
      <c r="V41" s="1"/>
      <c r="W41" s="1"/>
      <c r="X41" s="1"/>
      <c r="Y41" s="1"/>
      <c r="Z41" s="1"/>
      <c r="AA41" s="1"/>
      <c r="AB41" s="1"/>
      <c r="AC41" s="1"/>
      <c r="AD41" s="1"/>
      <c r="AE41" s="1"/>
    </row>
    <row r="42" customFormat="false" ht="36" hidden="false" customHeight="true" outlineLevel="0" collapsed="false">
      <c r="A42" s="13" t="s">
        <v>490</v>
      </c>
      <c r="B42" s="14" t="s">
        <v>491</v>
      </c>
      <c r="C42" s="98" t="s">
        <v>25</v>
      </c>
      <c r="D42" s="99" t="str">
        <f aca="false" t="array" ref="D42:D42">IFERROR(INDEX(値リスト!$A$3:$A$9,MATCH(C42,値リスト!$B$3:$B$9,0)),"")</f>
        <v>liquid</v>
      </c>
      <c r="E42" s="100" t="s">
        <v>125</v>
      </c>
      <c r="F42" s="101" t="str">
        <f aca="false">IFERROR(INDEX(値リスト!$A$14:$A$24,MATCH(E42,値リスト!$B$14:$B$24,0)),"")</f>
        <v>none</v>
      </c>
      <c r="G42" s="100" t="s">
        <v>133</v>
      </c>
      <c r="H42" s="101" t="str">
        <f aca="false">IFERROR(INDEX(値リスト!$A$27:$A$33,MATCH(G42,値リスト!$B$27:$B$33,0)),"")</f>
        <v>coagulate</v>
      </c>
      <c r="I42" s="12" t="s">
        <v>492</v>
      </c>
      <c r="J42" s="102" t="s">
        <v>493</v>
      </c>
      <c r="K42" s="12" t="s">
        <v>341</v>
      </c>
      <c r="L42" s="1" t="n">
        <v>8</v>
      </c>
      <c r="M42" s="97" t="s">
        <v>342</v>
      </c>
      <c r="N42" s="1" t="n">
        <v>200</v>
      </c>
      <c r="O42" s="97" t="s">
        <v>342</v>
      </c>
      <c r="P42" s="1"/>
      <c r="Q42" s="1"/>
      <c r="R42" s="1"/>
      <c r="S42" s="1"/>
      <c r="T42" s="1"/>
      <c r="U42" s="1"/>
      <c r="V42" s="1"/>
      <c r="W42" s="1"/>
      <c r="X42" s="1"/>
      <c r="Y42" s="1"/>
      <c r="Z42" s="1"/>
      <c r="AA42" s="1"/>
      <c r="AB42" s="1"/>
      <c r="AC42" s="1"/>
      <c r="AD42" s="1"/>
      <c r="AE42" s="1"/>
    </row>
    <row r="43" customFormat="false" ht="36" hidden="false" customHeight="true" outlineLevel="0" collapsed="false">
      <c r="A43" s="10" t="s">
        <v>494</v>
      </c>
      <c r="B43" s="11" t="s">
        <v>495</v>
      </c>
      <c r="C43" s="98" t="s">
        <v>25</v>
      </c>
      <c r="D43" s="99" t="str">
        <f aca="false" t="array" ref="D43:D43">IFERROR(INDEX(値リスト!$A$3:$A$9,MATCH(C43,値リスト!$B$3:$B$9,0)),"")</f>
        <v>liquid</v>
      </c>
      <c r="E43" s="100" t="s">
        <v>125</v>
      </c>
      <c r="F43" s="101" t="str">
        <f aca="false">IFERROR(INDEX(値リスト!$A$14:$A$24,MATCH(E43,値リスト!$B$14:$B$24,0)),"")</f>
        <v>none</v>
      </c>
      <c r="G43" s="100" t="s">
        <v>153</v>
      </c>
      <c r="H43" s="101" t="str">
        <f aca="false">IFERROR(INDEX(値リスト!$A$27:$A$33,MATCH(G43,値リスト!$B$27:$B$33,0)),"")</f>
        <v>catalyst</v>
      </c>
      <c r="I43" s="12" t="s">
        <v>496</v>
      </c>
      <c r="J43" s="102" t="s">
        <v>497</v>
      </c>
      <c r="K43" s="12" t="s">
        <v>341</v>
      </c>
      <c r="L43" s="1" t="n">
        <v>8</v>
      </c>
      <c r="M43" s="97" t="s">
        <v>342</v>
      </c>
      <c r="N43" s="1" t="n">
        <v>200</v>
      </c>
      <c r="O43" s="97" t="s">
        <v>342</v>
      </c>
      <c r="P43" s="1"/>
      <c r="Q43" s="1"/>
      <c r="R43" s="1"/>
      <c r="S43" s="1"/>
      <c r="T43" s="1"/>
      <c r="U43" s="1"/>
      <c r="V43" s="1"/>
      <c r="W43" s="1"/>
      <c r="X43" s="1"/>
      <c r="Y43" s="1"/>
      <c r="Z43" s="1"/>
      <c r="AA43" s="1"/>
      <c r="AB43" s="1"/>
      <c r="AC43" s="1"/>
      <c r="AD43" s="1"/>
      <c r="AE43" s="1"/>
    </row>
    <row r="44" customFormat="false" ht="36" hidden="false" customHeight="true" outlineLevel="0" collapsed="false">
      <c r="A44" s="13" t="s">
        <v>498</v>
      </c>
      <c r="B44" s="14" t="s">
        <v>499</v>
      </c>
      <c r="C44" s="98" t="s">
        <v>25</v>
      </c>
      <c r="D44" s="99" t="str">
        <f aca="false" t="array" ref="D44:D44">IFERROR(INDEX(値リスト!$A$3:$A$9,MATCH(C44,値リスト!$B$3:$B$9,0)),"")</f>
        <v>liquid</v>
      </c>
      <c r="E44" s="100" t="s">
        <v>125</v>
      </c>
      <c r="F44" s="101" t="str">
        <f aca="false">IFERROR(INDEX(値リスト!$A$14:$A$24,MATCH(E44,値リスト!$B$14:$B$24,0)),"")</f>
        <v>none</v>
      </c>
      <c r="G44" s="100" t="s">
        <v>150</v>
      </c>
      <c r="H44" s="101" t="str">
        <f aca="false">IFERROR(INDEX(値リスト!$A$27:$A$33,MATCH(G44,値リスト!$B$27:$B$33,0)),"")</f>
        <v>permeate</v>
      </c>
      <c r="I44" s="12" t="s">
        <v>500</v>
      </c>
      <c r="J44" s="102" t="s">
        <v>501</v>
      </c>
      <c r="K44" s="12" t="s">
        <v>341</v>
      </c>
      <c r="L44" s="1" t="n">
        <v>8</v>
      </c>
      <c r="M44" s="97" t="s">
        <v>342</v>
      </c>
      <c r="N44" s="1" t="n">
        <v>200</v>
      </c>
      <c r="O44" s="97" t="s">
        <v>342</v>
      </c>
      <c r="P44" s="1"/>
      <c r="Q44" s="1"/>
      <c r="R44" s="1"/>
      <c r="S44" s="1"/>
      <c r="T44" s="1"/>
      <c r="U44" s="1"/>
      <c r="V44" s="1"/>
      <c r="W44" s="1"/>
      <c r="X44" s="1"/>
      <c r="Y44" s="1"/>
      <c r="Z44" s="1"/>
      <c r="AA44" s="1"/>
      <c r="AB44" s="1"/>
      <c r="AC44" s="1"/>
      <c r="AD44" s="1"/>
      <c r="AE44" s="1"/>
    </row>
    <row r="45" customFormat="false" ht="36" hidden="false" customHeight="true" outlineLevel="0" collapsed="false">
      <c r="A45" s="10" t="s">
        <v>502</v>
      </c>
      <c r="B45" s="11" t="s">
        <v>503</v>
      </c>
      <c r="C45" s="98" t="s">
        <v>25</v>
      </c>
      <c r="D45" s="99" t="str">
        <f aca="false" t="array" ref="D45:D45">IFERROR(INDEX(値リスト!$A$3:$A$9,MATCH(C45,値リスト!$B$3:$B$9,0)),"")</f>
        <v>liquid</v>
      </c>
      <c r="E45" s="100" t="s">
        <v>80</v>
      </c>
      <c r="F45" s="101" t="str">
        <f aca="false">IFERROR(INDEX(値リスト!$A$14:$A$24,MATCH(E45,値リスト!$B$14:$B$24,0)),"")</f>
        <v>tonic</v>
      </c>
      <c r="G45" s="100" t="s">
        <v>63</v>
      </c>
      <c r="H45" s="101" t="str">
        <f aca="false">IFERROR(INDEX(値リスト!$A$27:$A$33,MATCH(G45,値リスト!$B$27:$B$33,0)),"")</f>
        <v>preserve</v>
      </c>
      <c r="I45" s="12" t="s">
        <v>504</v>
      </c>
      <c r="J45" s="102" t="s">
        <v>505</v>
      </c>
      <c r="K45" s="12" t="s">
        <v>341</v>
      </c>
      <c r="L45" s="1" t="n">
        <v>8</v>
      </c>
      <c r="M45" s="97" t="s">
        <v>342</v>
      </c>
      <c r="N45" s="1" t="n">
        <v>200</v>
      </c>
      <c r="O45" s="97" t="s">
        <v>342</v>
      </c>
      <c r="P45" s="1"/>
      <c r="Q45" s="1"/>
      <c r="R45" s="1"/>
      <c r="S45" s="1"/>
      <c r="T45" s="1"/>
      <c r="U45" s="1"/>
      <c r="V45" s="1"/>
      <c r="W45" s="1"/>
      <c r="X45" s="1"/>
      <c r="Y45" s="1"/>
      <c r="Z45" s="1"/>
      <c r="AA45" s="1"/>
      <c r="AB45" s="1"/>
      <c r="AC45" s="1"/>
      <c r="AD45" s="1"/>
      <c r="AE45" s="1"/>
    </row>
    <row r="46" customFormat="false" ht="36" hidden="false" customHeight="true" outlineLevel="0" collapsed="false">
      <c r="A46" s="13" t="s">
        <v>506</v>
      </c>
      <c r="B46" s="14" t="s">
        <v>507</v>
      </c>
      <c r="C46" s="98" t="s">
        <v>25</v>
      </c>
      <c r="D46" s="99" t="str">
        <f aca="false" t="array" ref="D46:D46">IFERROR(INDEX(値リスト!$A$3:$A$9,MATCH(C46,値リスト!$B$3:$B$9,0)),"")</f>
        <v>liquid</v>
      </c>
      <c r="E46" s="100" t="s">
        <v>86</v>
      </c>
      <c r="F46" s="101" t="str">
        <f aca="false">IFERROR(INDEX(値リスト!$A$14:$A$24,MATCH(E46,値リスト!$B$14:$B$24,0)),"")</f>
        <v>stimulation</v>
      </c>
      <c r="G46" s="100" t="s">
        <v>153</v>
      </c>
      <c r="H46" s="101" t="str">
        <f aca="false">IFERROR(INDEX(値リスト!$A$27:$A$33,MATCH(G46,値リスト!$B$27:$B$33,0)),"")</f>
        <v>catalyst</v>
      </c>
      <c r="I46" s="12" t="s">
        <v>508</v>
      </c>
      <c r="J46" s="102" t="s">
        <v>509</v>
      </c>
      <c r="K46" s="12" t="s">
        <v>341</v>
      </c>
      <c r="L46" s="1" t="n">
        <v>8</v>
      </c>
      <c r="M46" s="97" t="s">
        <v>342</v>
      </c>
      <c r="N46" s="1" t="n">
        <v>200</v>
      </c>
      <c r="O46" s="97" t="s">
        <v>342</v>
      </c>
      <c r="P46" s="1"/>
      <c r="Q46" s="1"/>
      <c r="R46" s="1"/>
      <c r="S46" s="1"/>
      <c r="T46" s="1"/>
      <c r="U46" s="1"/>
      <c r="V46" s="1"/>
      <c r="W46" s="1"/>
      <c r="X46" s="1"/>
      <c r="Y46" s="1"/>
      <c r="Z46" s="1"/>
      <c r="AA46" s="1"/>
      <c r="AB46" s="1"/>
      <c r="AC46" s="1"/>
      <c r="AD46" s="1"/>
      <c r="AE46" s="1"/>
    </row>
    <row r="47" customFormat="false" ht="36" hidden="false" customHeight="true" outlineLevel="0" collapsed="false">
      <c r="A47" s="10" t="s">
        <v>510</v>
      </c>
      <c r="B47" s="11" t="s">
        <v>511</v>
      </c>
      <c r="C47" s="98" t="s">
        <v>25</v>
      </c>
      <c r="D47" s="99" t="str">
        <f aca="false" t="array" ref="D47:D47">IFERROR(INDEX(値リスト!$A$3:$A$9,MATCH(C47,値リスト!$B$3:$B$9,0)),"")</f>
        <v>liquid</v>
      </c>
      <c r="E47" s="100" t="s">
        <v>125</v>
      </c>
      <c r="F47" s="101" t="str">
        <f aca="false">IFERROR(INDEX(値リスト!$A$14:$A$24,MATCH(E47,値リスト!$B$14:$B$24,0)),"")</f>
        <v>none</v>
      </c>
      <c r="G47" s="100" t="s">
        <v>63</v>
      </c>
      <c r="H47" s="101" t="str">
        <f aca="false">IFERROR(INDEX(値リスト!$A$27:$A$33,MATCH(G47,値リスト!$B$27:$B$33,0)),"")</f>
        <v>preserve</v>
      </c>
      <c r="I47" s="12" t="s">
        <v>512</v>
      </c>
      <c r="J47" s="102" t="s">
        <v>513</v>
      </c>
      <c r="K47" s="12" t="s">
        <v>341</v>
      </c>
      <c r="L47" s="1" t="n">
        <v>8</v>
      </c>
      <c r="M47" s="97" t="s">
        <v>342</v>
      </c>
      <c r="N47" s="1" t="n">
        <v>200</v>
      </c>
      <c r="O47" s="97" t="s">
        <v>342</v>
      </c>
      <c r="P47" s="1"/>
      <c r="Q47" s="1"/>
      <c r="R47" s="1"/>
      <c r="S47" s="1"/>
      <c r="T47" s="1"/>
      <c r="U47" s="1"/>
      <c r="V47" s="1"/>
      <c r="W47" s="1"/>
      <c r="X47" s="1"/>
      <c r="Y47" s="1"/>
      <c r="Z47" s="1"/>
      <c r="AA47" s="1"/>
      <c r="AB47" s="1"/>
      <c r="AC47" s="1"/>
      <c r="AD47" s="1"/>
      <c r="AE47" s="1"/>
    </row>
    <row r="48" customFormat="false" ht="36" hidden="false" customHeight="true" outlineLevel="0" collapsed="false">
      <c r="A48" s="13" t="s">
        <v>514</v>
      </c>
      <c r="B48" s="14" t="s">
        <v>515</v>
      </c>
      <c r="C48" s="98" t="s">
        <v>25</v>
      </c>
      <c r="D48" s="99" t="str">
        <f aca="false" t="array" ref="D48:D48">IFERROR(INDEX(値リスト!$A$3:$A$9,MATCH(C48,値リスト!$B$3:$B$9,0)),"")</f>
        <v>liquid</v>
      </c>
      <c r="E48" s="100" t="s">
        <v>125</v>
      </c>
      <c r="F48" s="101" t="str">
        <f aca="false">IFERROR(INDEX(値リスト!$A$14:$A$24,MATCH(E48,値リスト!$B$14:$B$24,0)),"")</f>
        <v>none</v>
      </c>
      <c r="G48" s="100" t="s">
        <v>150</v>
      </c>
      <c r="H48" s="101" t="str">
        <f aca="false">IFERROR(INDEX(値リスト!$A$27:$A$33,MATCH(G48,値リスト!$B$27:$B$33,0)),"")</f>
        <v>permeate</v>
      </c>
      <c r="I48" s="12" t="s">
        <v>516</v>
      </c>
      <c r="J48" s="102" t="s">
        <v>517</v>
      </c>
      <c r="K48" s="12" t="s">
        <v>341</v>
      </c>
      <c r="L48" s="1" t="n">
        <v>8</v>
      </c>
      <c r="M48" s="97" t="s">
        <v>342</v>
      </c>
      <c r="N48" s="1" t="n">
        <v>200</v>
      </c>
      <c r="O48" s="97" t="s">
        <v>342</v>
      </c>
      <c r="P48" s="1"/>
      <c r="Q48" s="1"/>
      <c r="R48" s="1"/>
      <c r="S48" s="1"/>
      <c r="T48" s="1"/>
      <c r="U48" s="1"/>
      <c r="V48" s="1"/>
      <c r="W48" s="1"/>
      <c r="X48" s="1"/>
      <c r="Y48" s="1"/>
      <c r="Z48" s="1"/>
      <c r="AA48" s="1"/>
      <c r="AB48" s="1"/>
      <c r="AC48" s="1"/>
      <c r="AD48" s="1"/>
      <c r="AE48" s="1"/>
    </row>
    <row r="49" customFormat="false" ht="36" hidden="false" customHeight="true" outlineLevel="0" collapsed="false">
      <c r="A49" s="10" t="s">
        <v>518</v>
      </c>
      <c r="B49" s="11" t="s">
        <v>519</v>
      </c>
      <c r="C49" s="98" t="s">
        <v>25</v>
      </c>
      <c r="D49" s="99" t="str">
        <f aca="false" t="array" ref="D49:D49">IFERROR(INDEX(値リスト!$A$3:$A$9,MATCH(C49,値リスト!$B$3:$B$9,0)),"")</f>
        <v>liquid</v>
      </c>
      <c r="E49" s="100" t="s">
        <v>116</v>
      </c>
      <c r="F49" s="101" t="str">
        <f aca="false">IFERROR(INDEX(値リスト!$A$14:$A$24,MATCH(E49,値リスト!$B$14:$B$24,0)),"")</f>
        <v>insulation</v>
      </c>
      <c r="G49" s="100" t="s">
        <v>147</v>
      </c>
      <c r="H49" s="101" t="str">
        <f aca="false">IFERROR(INDEX(値リスト!$A$27:$A$33,MATCH(G49,値リスト!$B$27:$B$33,0)),"")</f>
        <v>volatile</v>
      </c>
      <c r="I49" s="12" t="s">
        <v>520</v>
      </c>
      <c r="J49" s="102" t="s">
        <v>521</v>
      </c>
      <c r="K49" s="12" t="s">
        <v>341</v>
      </c>
      <c r="L49" s="1" t="n">
        <v>8</v>
      </c>
      <c r="M49" s="97" t="s">
        <v>342</v>
      </c>
      <c r="N49" s="1" t="n">
        <v>200</v>
      </c>
      <c r="O49" s="97" t="s">
        <v>342</v>
      </c>
      <c r="P49" s="1"/>
      <c r="Q49" s="1"/>
      <c r="R49" s="1"/>
      <c r="S49" s="1"/>
      <c r="T49" s="1"/>
      <c r="U49" s="1"/>
      <c r="V49" s="1"/>
      <c r="W49" s="1"/>
      <c r="X49" s="1"/>
      <c r="Y49" s="1"/>
      <c r="Z49" s="1"/>
      <c r="AA49" s="1"/>
      <c r="AB49" s="1"/>
      <c r="AC49" s="1"/>
      <c r="AD49" s="1"/>
      <c r="AE49" s="1"/>
    </row>
    <row r="50" customFormat="false" ht="36" hidden="false" customHeight="true" outlineLevel="0" collapsed="false">
      <c r="A50" s="13" t="s">
        <v>522</v>
      </c>
      <c r="B50" s="14" t="s">
        <v>523</v>
      </c>
      <c r="C50" s="98" t="s">
        <v>25</v>
      </c>
      <c r="D50" s="99" t="str">
        <f aca="false" t="array" ref="D50:D50">IFERROR(INDEX(値リスト!$A$3:$A$9,MATCH(C50,値リスト!$B$3:$B$9,0)),"")</f>
        <v>liquid</v>
      </c>
      <c r="E50" s="100" t="s">
        <v>125</v>
      </c>
      <c r="F50" s="101" t="str">
        <f aca="false">IFERROR(INDEX(値リスト!$A$14:$A$24,MATCH(E50,値リスト!$B$14:$B$24,0)),"")</f>
        <v>none</v>
      </c>
      <c r="G50" s="100" t="s">
        <v>133</v>
      </c>
      <c r="H50" s="101" t="str">
        <f aca="false">IFERROR(INDEX(値リスト!$A$27:$A$33,MATCH(G50,値リスト!$B$27:$B$33,0)),"")</f>
        <v>coagulate</v>
      </c>
      <c r="I50" s="12" t="s">
        <v>524</v>
      </c>
      <c r="J50" s="102" t="s">
        <v>525</v>
      </c>
      <c r="K50" s="12" t="s">
        <v>341</v>
      </c>
      <c r="L50" s="1" t="n">
        <v>8</v>
      </c>
      <c r="M50" s="97" t="s">
        <v>342</v>
      </c>
      <c r="N50" s="1" t="n">
        <v>200</v>
      </c>
      <c r="O50" s="97" t="s">
        <v>342</v>
      </c>
      <c r="P50" s="1"/>
      <c r="Q50" s="1"/>
      <c r="R50" s="1"/>
      <c r="S50" s="1"/>
      <c r="T50" s="1"/>
      <c r="U50" s="1"/>
      <c r="V50" s="1"/>
      <c r="W50" s="1"/>
      <c r="X50" s="1"/>
      <c r="Y50" s="1"/>
      <c r="Z50" s="1"/>
      <c r="AA50" s="1"/>
      <c r="AB50" s="1"/>
      <c r="AC50" s="1"/>
      <c r="AD50" s="1"/>
      <c r="AE50" s="1"/>
    </row>
    <row r="51" customFormat="false" ht="36" hidden="false" customHeight="true" outlineLevel="0" collapsed="false">
      <c r="A51" s="10" t="s">
        <v>526</v>
      </c>
      <c r="B51" s="11" t="s">
        <v>527</v>
      </c>
      <c r="C51" s="98" t="s">
        <v>25</v>
      </c>
      <c r="D51" s="99" t="str">
        <f aca="false" t="array" ref="D51:D51">IFERROR(INDEX(値リスト!$A$3:$A$9,MATCH(C51,値リスト!$B$3:$B$9,0)),"")</f>
        <v>liquid</v>
      </c>
      <c r="E51" s="100" t="s">
        <v>80</v>
      </c>
      <c r="F51" s="101" t="str">
        <f aca="false">IFERROR(INDEX(値リスト!$A$14:$A$24,MATCH(E51,値リスト!$B$14:$B$24,0)),"")</f>
        <v>tonic</v>
      </c>
      <c r="G51" s="100" t="s">
        <v>142</v>
      </c>
      <c r="H51" s="101" t="str">
        <f aca="false">IFERROR(INDEX(値リスト!$A$27:$A$33,MATCH(G51,値リスト!$B$27:$B$33,0)),"")</f>
        <v>separate</v>
      </c>
      <c r="I51" s="12" t="s">
        <v>528</v>
      </c>
      <c r="J51" s="102" t="s">
        <v>529</v>
      </c>
      <c r="K51" s="12" t="s">
        <v>341</v>
      </c>
      <c r="L51" s="1" t="n">
        <v>8</v>
      </c>
      <c r="M51" s="97" t="s">
        <v>342</v>
      </c>
      <c r="N51" s="1" t="n">
        <v>200</v>
      </c>
      <c r="O51" s="97" t="s">
        <v>342</v>
      </c>
      <c r="P51" s="1"/>
      <c r="Q51" s="1"/>
      <c r="R51" s="1"/>
      <c r="S51" s="1"/>
      <c r="T51" s="1"/>
      <c r="U51" s="1"/>
      <c r="V51" s="1"/>
      <c r="W51" s="1"/>
      <c r="X51" s="1"/>
      <c r="Y51" s="1"/>
      <c r="Z51" s="1"/>
      <c r="AA51" s="1"/>
      <c r="AB51" s="1"/>
      <c r="AC51" s="1"/>
      <c r="AD51" s="1"/>
      <c r="AE51" s="1"/>
    </row>
    <row r="52" customFormat="false" ht="36" hidden="false" customHeight="true" outlineLevel="0" collapsed="false">
      <c r="A52" s="10"/>
      <c r="B52" s="11" t="s">
        <v>530</v>
      </c>
      <c r="C52" s="98" t="s">
        <v>25</v>
      </c>
      <c r="D52" s="99" t="str">
        <f aca="false" t="array" ref="D52:D52">IFERROR(INDEX(値リスト!$A$3:$A$9,MATCH(C52,値リスト!$B$3:$B$9,0)),"")</f>
        <v>liquid</v>
      </c>
      <c r="E52" s="100" t="s">
        <v>98</v>
      </c>
      <c r="F52" s="101" t="str">
        <f aca="false" t="array" ref="F52:F52">IFERROR(INDEX(値リスト!$A$14:$A$24,MATCH(E52,値リスト!$B$14:$B$24,0)),"")</f>
        <v>stable</v>
      </c>
      <c r="G52" s="100" t="s">
        <v>156</v>
      </c>
      <c r="H52" s="101"/>
      <c r="I52" s="9"/>
      <c r="J52" s="102"/>
      <c r="P52" s="1"/>
      <c r="Q52" s="1"/>
      <c r="R52" s="1"/>
      <c r="S52" s="1"/>
      <c r="T52" s="1"/>
      <c r="U52" s="1"/>
      <c r="V52" s="1"/>
      <c r="W52" s="1"/>
      <c r="X52" s="1"/>
      <c r="Y52" s="1"/>
      <c r="Z52" s="1"/>
      <c r="AA52" s="1"/>
      <c r="AB52" s="1"/>
      <c r="AC52" s="1"/>
      <c r="AD52" s="1"/>
      <c r="AE52" s="1"/>
    </row>
    <row r="53" customFormat="false" ht="36" hidden="false" customHeight="true" outlineLevel="0" collapsed="false">
      <c r="A53" s="10"/>
      <c r="B53" s="11" t="s">
        <v>531</v>
      </c>
      <c r="C53" s="98" t="s">
        <v>25</v>
      </c>
      <c r="D53" s="99" t="str">
        <f aca="false" t="array" ref="D53:D53">IFERROR(INDEX(値リスト!$A$3:$A$9,MATCH(C53,値リスト!$B$3:$B$9,0)),"")</f>
        <v>liquid</v>
      </c>
      <c r="E53" s="100" t="s">
        <v>77</v>
      </c>
      <c r="F53" s="101" t="str">
        <f aca="false" t="array" ref="F53:F53">IFERROR(INDEX(値リスト!$A$14:$A$24,MATCH(E53,値リスト!$B$14:$B$24,0)),"")</f>
        <v>detox</v>
      </c>
      <c r="G53" s="100" t="s">
        <v>156</v>
      </c>
      <c r="H53" s="101"/>
      <c r="I53" s="9"/>
      <c r="J53" s="102"/>
      <c r="P53" s="1"/>
      <c r="Q53" s="1"/>
      <c r="R53" s="1"/>
      <c r="S53" s="1"/>
      <c r="T53" s="1"/>
      <c r="U53" s="1"/>
      <c r="V53" s="1"/>
      <c r="W53" s="1"/>
      <c r="X53" s="1"/>
      <c r="Y53" s="1"/>
      <c r="Z53" s="1"/>
      <c r="AA53" s="1"/>
      <c r="AB53" s="1"/>
      <c r="AC53" s="1"/>
      <c r="AD53" s="1"/>
      <c r="AE53" s="1"/>
    </row>
    <row r="54" customFormat="false" ht="36" hidden="false" customHeight="true" outlineLevel="0" collapsed="false">
      <c r="A54" s="10"/>
      <c r="B54" s="11" t="s">
        <v>532</v>
      </c>
      <c r="C54" s="98" t="s">
        <v>25</v>
      </c>
      <c r="D54" s="99" t="str">
        <f aca="false" t="array" ref="D54:D54">IFERROR(INDEX(値リスト!$A$3:$A$9,MATCH(C54,値リスト!$B$3:$B$9,0)),"")</f>
        <v>liquid</v>
      </c>
      <c r="E54" s="100" t="s">
        <v>98</v>
      </c>
      <c r="F54" s="101" t="str">
        <f aca="false" t="array" ref="F54:F54">IFERROR(INDEX(値リスト!$A$14:$A$24,MATCH(E54,値リスト!$B$14:$B$24,0)),"")</f>
        <v>stable</v>
      </c>
      <c r="G54" s="100" t="s">
        <v>150</v>
      </c>
      <c r="H54" s="101"/>
      <c r="I54" s="9"/>
      <c r="J54" s="102"/>
      <c r="P54" s="1"/>
      <c r="Q54" s="1"/>
      <c r="R54" s="1"/>
      <c r="S54" s="1"/>
      <c r="T54" s="1"/>
      <c r="U54" s="1"/>
      <c r="V54" s="1"/>
      <c r="W54" s="1"/>
      <c r="X54" s="1"/>
      <c r="Y54" s="1"/>
      <c r="Z54" s="1"/>
      <c r="AA54" s="1"/>
      <c r="AB54" s="1"/>
      <c r="AC54" s="1"/>
      <c r="AD54" s="1"/>
      <c r="AE54" s="1"/>
    </row>
    <row r="55" customFormat="false" ht="36" hidden="false" customHeight="true" outlineLevel="0" collapsed="false">
      <c r="A55" s="13" t="s">
        <v>533</v>
      </c>
      <c r="B55" s="14" t="s">
        <v>534</v>
      </c>
      <c r="C55" s="98" t="s">
        <v>41</v>
      </c>
      <c r="D55" s="99" t="str">
        <f aca="false" t="array" ref="D55:D55">IFERROR(INDEX(値リスト!$A$3:$A$9,MATCH(C55,値リスト!$B$3:$B$9,0)),"")</f>
        <v>creature</v>
      </c>
      <c r="E55" s="100" t="s">
        <v>86</v>
      </c>
      <c r="F55" s="101" t="str">
        <f aca="false">IFERROR(INDEX(値リスト!$A$14:$A$24,MATCH(E55,値リスト!$B$14:$B$24,0)),"")</f>
        <v>stimulation</v>
      </c>
      <c r="G55" s="100" t="s">
        <v>153</v>
      </c>
      <c r="H55" s="101" t="str">
        <f aca="false">IFERROR(INDEX(値リスト!$A$27:$A$33,MATCH(G55,値リスト!$B$27:$B$33,0)),"")</f>
        <v>catalyst</v>
      </c>
      <c r="I55" s="12" t="s">
        <v>535</v>
      </c>
      <c r="J55" s="102" t="s">
        <v>536</v>
      </c>
      <c r="K55" s="12" t="s">
        <v>341</v>
      </c>
      <c r="L55" s="1" t="n">
        <v>8</v>
      </c>
      <c r="M55" s="97" t="s">
        <v>342</v>
      </c>
      <c r="N55" s="1" t="n">
        <v>200</v>
      </c>
      <c r="O55" s="97" t="s">
        <v>342</v>
      </c>
      <c r="P55" s="1"/>
      <c r="Q55" s="1"/>
      <c r="R55" s="1"/>
      <c r="S55" s="1"/>
      <c r="T55" s="1"/>
      <c r="U55" s="1"/>
      <c r="V55" s="1"/>
      <c r="W55" s="1"/>
      <c r="X55" s="1"/>
      <c r="Y55" s="1"/>
      <c r="Z55" s="1"/>
      <c r="AA55" s="1"/>
      <c r="AB55" s="1"/>
      <c r="AC55" s="1"/>
      <c r="AD55" s="1"/>
      <c r="AE55" s="1"/>
    </row>
    <row r="56" customFormat="false" ht="36" hidden="false" customHeight="true" outlineLevel="0" collapsed="false">
      <c r="A56" s="10" t="s">
        <v>537</v>
      </c>
      <c r="B56" s="11" t="s">
        <v>538</v>
      </c>
      <c r="C56" s="98" t="s">
        <v>41</v>
      </c>
      <c r="D56" s="99" t="str">
        <f aca="false" t="array" ref="D56:D56">IFERROR(INDEX(値リスト!$A$3:$A$9,MATCH(C56,値リスト!$B$3:$B$9,0)),"")</f>
        <v>creature</v>
      </c>
      <c r="E56" s="100" t="s">
        <v>86</v>
      </c>
      <c r="F56" s="101" t="str">
        <f aca="false">IFERROR(INDEX(値リスト!$A$14:$A$24,MATCH(E56,値リスト!$B$14:$B$24,0)),"")</f>
        <v>stimulation</v>
      </c>
      <c r="G56" s="100" t="s">
        <v>150</v>
      </c>
      <c r="H56" s="101" t="str">
        <f aca="false">IFERROR(INDEX(値リスト!$A$27:$A$33,MATCH(G56,値リスト!$B$27:$B$33,0)),"")</f>
        <v>permeate</v>
      </c>
      <c r="I56" s="12" t="s">
        <v>539</v>
      </c>
      <c r="J56" s="102" t="s">
        <v>540</v>
      </c>
      <c r="K56" s="12" t="s">
        <v>341</v>
      </c>
      <c r="L56" s="1" t="n">
        <v>8</v>
      </c>
      <c r="M56" s="97" t="s">
        <v>342</v>
      </c>
      <c r="N56" s="1" t="n">
        <v>200</v>
      </c>
      <c r="O56" s="97" t="s">
        <v>342</v>
      </c>
      <c r="P56" s="1"/>
      <c r="Q56" s="1"/>
      <c r="R56" s="1"/>
      <c r="S56" s="1"/>
      <c r="T56" s="1"/>
      <c r="U56" s="1"/>
      <c r="V56" s="1"/>
      <c r="W56" s="1"/>
      <c r="X56" s="1"/>
      <c r="Y56" s="1"/>
      <c r="Z56" s="1"/>
      <c r="AA56" s="1"/>
      <c r="AB56" s="1"/>
      <c r="AC56" s="1"/>
      <c r="AD56" s="1"/>
      <c r="AE56" s="1"/>
    </row>
    <row r="57" customFormat="false" ht="36" hidden="false" customHeight="true" outlineLevel="0" collapsed="false">
      <c r="A57" s="13" t="s">
        <v>541</v>
      </c>
      <c r="B57" s="14" t="s">
        <v>542</v>
      </c>
      <c r="C57" s="98" t="s">
        <v>41</v>
      </c>
      <c r="D57" s="99" t="str">
        <f aca="false" t="array" ref="D57:D57">IFERROR(INDEX(値リスト!$A$3:$A$9,MATCH(C57,値リスト!$B$3:$B$9,0)),"")</f>
        <v>creature</v>
      </c>
      <c r="E57" s="100" t="s">
        <v>104</v>
      </c>
      <c r="F57" s="101" t="str">
        <f aca="false">IFERROR(INDEX(値リスト!$A$14:$A$24,MATCH(E57,値リスト!$B$14:$B$24,0)),"")</f>
        <v>levitation</v>
      </c>
      <c r="G57" s="100" t="s">
        <v>147</v>
      </c>
      <c r="H57" s="101" t="str">
        <f aca="false">IFERROR(INDEX(値リスト!$A$27:$A$33,MATCH(G57,値リスト!$B$27:$B$33,0)),"")</f>
        <v>volatile</v>
      </c>
      <c r="I57" s="12" t="s">
        <v>543</v>
      </c>
      <c r="J57" s="102" t="s">
        <v>544</v>
      </c>
      <c r="K57" s="12" t="s">
        <v>341</v>
      </c>
      <c r="L57" s="1" t="n">
        <v>8</v>
      </c>
      <c r="M57" s="97" t="s">
        <v>342</v>
      </c>
      <c r="O57" s="97" t="s">
        <v>342</v>
      </c>
      <c r="P57" s="1"/>
      <c r="Q57" s="1"/>
      <c r="R57" s="1"/>
      <c r="S57" s="1"/>
      <c r="T57" s="1"/>
      <c r="U57" s="1"/>
      <c r="V57" s="1"/>
      <c r="W57" s="1"/>
      <c r="X57" s="1"/>
      <c r="Y57" s="1"/>
      <c r="Z57" s="1"/>
      <c r="AA57" s="1"/>
      <c r="AB57" s="1"/>
      <c r="AC57" s="1"/>
      <c r="AD57" s="1"/>
      <c r="AE57" s="1"/>
    </row>
    <row r="58" customFormat="false" ht="36" hidden="false" customHeight="true" outlineLevel="0" collapsed="false">
      <c r="A58" s="104" t="s">
        <v>545</v>
      </c>
      <c r="B58" s="11" t="s">
        <v>546</v>
      </c>
      <c r="C58" s="98" t="s">
        <v>41</v>
      </c>
      <c r="D58" s="99" t="str">
        <f aca="false" t="array" ref="D58:D58">IFERROR(INDEX(値リスト!$A$3:$A$9,MATCH(C58,値リスト!$B$3:$B$9,0)),"")</f>
        <v>creature</v>
      </c>
      <c r="E58" s="100" t="s">
        <v>72</v>
      </c>
      <c r="F58" s="101" t="str">
        <f aca="false">IFERROR(INDEX(値リスト!$A$14:$A$24,MATCH(E58,値リスト!$B$14:$B$24,0)),"")</f>
        <v>healing</v>
      </c>
      <c r="G58" s="100" t="s">
        <v>63</v>
      </c>
      <c r="H58" s="101" t="str">
        <f aca="false">IFERROR(INDEX(値リスト!$A$27:$A$33,MATCH(G58,値リスト!$B$27:$B$33,0)),"")</f>
        <v>preserve</v>
      </c>
      <c r="I58" s="12" t="s">
        <v>547</v>
      </c>
      <c r="J58" s="102" t="s">
        <v>548</v>
      </c>
      <c r="K58" s="12" t="s">
        <v>341</v>
      </c>
      <c r="L58" s="1" t="n">
        <v>8</v>
      </c>
      <c r="M58" s="97" t="s">
        <v>342</v>
      </c>
      <c r="N58" s="1" t="n">
        <v>200</v>
      </c>
      <c r="O58" s="97" t="s">
        <v>342</v>
      </c>
      <c r="P58" s="1"/>
      <c r="Q58" s="1"/>
      <c r="R58" s="1"/>
      <c r="S58" s="1"/>
      <c r="T58" s="1"/>
      <c r="U58" s="1"/>
      <c r="V58" s="1"/>
      <c r="W58" s="1"/>
      <c r="X58" s="1"/>
      <c r="Y58" s="1"/>
      <c r="Z58" s="1"/>
      <c r="AA58" s="1"/>
      <c r="AB58" s="1"/>
      <c r="AC58" s="1"/>
      <c r="AD58" s="1"/>
      <c r="AE58" s="1"/>
    </row>
    <row r="59" customFormat="false" ht="36" hidden="false" customHeight="true" outlineLevel="0" collapsed="false">
      <c r="A59" s="13" t="s">
        <v>549</v>
      </c>
      <c r="B59" s="14" t="s">
        <v>550</v>
      </c>
      <c r="C59" s="98" t="s">
        <v>41</v>
      </c>
      <c r="D59" s="99" t="str">
        <f aca="false" t="array" ref="D59:D59">IFERROR(INDEX(値リスト!$A$3:$A$9,MATCH(C59,値リスト!$B$3:$B$9,0)),"")</f>
        <v>creature</v>
      </c>
      <c r="E59" s="100" t="s">
        <v>104</v>
      </c>
      <c r="F59" s="101" t="str">
        <f aca="false">IFERROR(INDEX(値リスト!$A$14:$A$24,MATCH(E59,値リスト!$B$14:$B$24,0)),"")</f>
        <v>levitation</v>
      </c>
      <c r="G59" s="100" t="s">
        <v>153</v>
      </c>
      <c r="H59" s="101" t="str">
        <f aca="false">IFERROR(INDEX(値リスト!$A$27:$A$33,MATCH(G59,値リスト!$B$27:$B$33,0)),"")</f>
        <v>catalyst</v>
      </c>
      <c r="I59" s="12" t="s">
        <v>551</v>
      </c>
      <c r="J59" s="102" t="s">
        <v>552</v>
      </c>
      <c r="K59" s="12" t="s">
        <v>341</v>
      </c>
      <c r="L59" s="1" t="n">
        <v>8</v>
      </c>
      <c r="M59" s="97" t="s">
        <v>342</v>
      </c>
      <c r="O59" s="97" t="s">
        <v>342</v>
      </c>
      <c r="P59" s="1"/>
      <c r="Q59" s="1"/>
      <c r="R59" s="1"/>
      <c r="S59" s="1"/>
      <c r="T59" s="1"/>
      <c r="U59" s="1"/>
      <c r="V59" s="1"/>
      <c r="W59" s="1"/>
      <c r="X59" s="1"/>
      <c r="Y59" s="1"/>
      <c r="Z59" s="1"/>
      <c r="AA59" s="1"/>
      <c r="AB59" s="1"/>
      <c r="AC59" s="1"/>
      <c r="AD59" s="1"/>
      <c r="AE59" s="1"/>
    </row>
    <row r="60" customFormat="false" ht="36" hidden="false" customHeight="true" outlineLevel="0" collapsed="false">
      <c r="A60" s="10" t="s">
        <v>553</v>
      </c>
      <c r="B60" s="11" t="s">
        <v>554</v>
      </c>
      <c r="C60" s="98" t="s">
        <v>41</v>
      </c>
      <c r="D60" s="99" t="str">
        <f aca="false" t="array" ref="D60:D60">IFERROR(INDEX(値リスト!$A$3:$A$9,MATCH(C60,値リスト!$B$3:$B$9,0)),"")</f>
        <v>creature</v>
      </c>
      <c r="E60" s="100" t="s">
        <v>116</v>
      </c>
      <c r="F60" s="101" t="str">
        <f aca="false">IFERROR(INDEX(値リスト!$A$14:$A$24,MATCH(E60,値リスト!$B$14:$B$24,0)),"")</f>
        <v>insulation</v>
      </c>
      <c r="G60" s="100" t="s">
        <v>142</v>
      </c>
      <c r="H60" s="101" t="str">
        <f aca="false">IFERROR(INDEX(値リスト!$A$27:$A$33,MATCH(G60,値リスト!$B$27:$B$33,0)),"")</f>
        <v>separate</v>
      </c>
      <c r="I60" s="12" t="s">
        <v>555</v>
      </c>
      <c r="J60" s="102" t="s">
        <v>556</v>
      </c>
      <c r="K60" s="12" t="s">
        <v>341</v>
      </c>
      <c r="L60" s="1" t="n">
        <v>8</v>
      </c>
      <c r="M60" s="97" t="s">
        <v>342</v>
      </c>
      <c r="N60" s="1" t="n">
        <v>200</v>
      </c>
      <c r="O60" s="97" t="s">
        <v>342</v>
      </c>
      <c r="P60" s="1"/>
      <c r="Q60" s="1"/>
      <c r="R60" s="1"/>
      <c r="S60" s="1"/>
      <c r="T60" s="1"/>
      <c r="U60" s="1"/>
      <c r="V60" s="1"/>
      <c r="W60" s="1"/>
      <c r="X60" s="1"/>
      <c r="Y60" s="1"/>
      <c r="Z60" s="1"/>
      <c r="AA60" s="1"/>
      <c r="AB60" s="1"/>
      <c r="AC60" s="1"/>
      <c r="AD60" s="1"/>
      <c r="AE60" s="1"/>
    </row>
    <row r="61" customFormat="false" ht="36" hidden="false" customHeight="true" outlineLevel="0" collapsed="false">
      <c r="A61" s="13" t="s">
        <v>557</v>
      </c>
      <c r="B61" s="14" t="s">
        <v>558</v>
      </c>
      <c r="C61" s="98" t="s">
        <v>41</v>
      </c>
      <c r="D61" s="99" t="str">
        <f aca="false" t="array" ref="D61:D61">IFERROR(INDEX(値リスト!$A$3:$A$9,MATCH(C61,値リスト!$B$3:$B$9,0)),"")</f>
        <v>creature</v>
      </c>
      <c r="E61" s="100" t="s">
        <v>125</v>
      </c>
      <c r="F61" s="101" t="str">
        <f aca="false">IFERROR(INDEX(値リスト!$A$14:$A$24,MATCH(E61,値リスト!$B$14:$B$24,0)),"")</f>
        <v>none</v>
      </c>
      <c r="G61" s="100" t="s">
        <v>133</v>
      </c>
      <c r="H61" s="101" t="str">
        <f aca="false">IFERROR(INDEX(値リスト!$A$27:$A$33,MATCH(G61,値リスト!$B$27:$B$33,0)),"")</f>
        <v>coagulate</v>
      </c>
      <c r="I61" s="12" t="s">
        <v>559</v>
      </c>
      <c r="J61" s="102" t="s">
        <v>560</v>
      </c>
      <c r="K61" s="12" t="s">
        <v>341</v>
      </c>
      <c r="L61" s="1" t="n">
        <v>8</v>
      </c>
      <c r="M61" s="97" t="s">
        <v>342</v>
      </c>
      <c r="N61" s="1" t="n">
        <v>200</v>
      </c>
      <c r="O61" s="97" t="s">
        <v>342</v>
      </c>
      <c r="P61" s="1"/>
      <c r="Q61" s="1"/>
      <c r="R61" s="1"/>
      <c r="S61" s="1"/>
      <c r="T61" s="1"/>
      <c r="U61" s="1"/>
      <c r="V61" s="1"/>
      <c r="W61" s="1"/>
      <c r="X61" s="1"/>
      <c r="Y61" s="1"/>
      <c r="Z61" s="1"/>
      <c r="AA61" s="1"/>
      <c r="AB61" s="1"/>
      <c r="AC61" s="1"/>
      <c r="AD61" s="1"/>
      <c r="AE61" s="1"/>
    </row>
    <row r="62" customFormat="false" ht="36" hidden="false" customHeight="true" outlineLevel="0" collapsed="false">
      <c r="A62" s="10" t="s">
        <v>561</v>
      </c>
      <c r="B62" s="11" t="s">
        <v>562</v>
      </c>
      <c r="C62" s="98" t="s">
        <v>41</v>
      </c>
      <c r="D62" s="99" t="str">
        <f aca="false" t="array" ref="D62:D62">IFERROR(INDEX(値リスト!$A$3:$A$9,MATCH(C62,値リスト!$B$3:$B$9,0)),"")</f>
        <v>creature</v>
      </c>
      <c r="E62" s="100" t="s">
        <v>110</v>
      </c>
      <c r="F62" s="101" t="str">
        <f aca="false">IFERROR(INDEX(値リスト!$A$14:$A$24,MATCH(E62,値リスト!$B$14:$B$24,0)),"")</f>
        <v>mystic</v>
      </c>
      <c r="G62" s="100" t="s">
        <v>153</v>
      </c>
      <c r="H62" s="101" t="str">
        <f aca="false">IFERROR(INDEX(値リスト!$A$27:$A$33,MATCH(G62,値リスト!$B$27:$B$33,0)),"")</f>
        <v>catalyst</v>
      </c>
      <c r="I62" s="12" t="s">
        <v>563</v>
      </c>
      <c r="J62" s="102" t="s">
        <v>564</v>
      </c>
      <c r="K62" s="12" t="s">
        <v>341</v>
      </c>
      <c r="L62" s="1" t="n">
        <v>8</v>
      </c>
      <c r="M62" s="97" t="s">
        <v>342</v>
      </c>
      <c r="O62" s="97" t="s">
        <v>342</v>
      </c>
      <c r="P62" s="1"/>
      <c r="Q62" s="1"/>
      <c r="R62" s="1"/>
      <c r="S62" s="1"/>
      <c r="T62" s="1"/>
      <c r="U62" s="1"/>
      <c r="V62" s="1"/>
      <c r="W62" s="1"/>
      <c r="X62" s="1"/>
      <c r="Y62" s="1"/>
      <c r="Z62" s="1"/>
      <c r="AA62" s="1"/>
      <c r="AB62" s="1"/>
      <c r="AC62" s="1"/>
      <c r="AD62" s="1"/>
      <c r="AE62" s="1"/>
    </row>
    <row r="63" customFormat="false" ht="36" hidden="false" customHeight="true" outlineLevel="0" collapsed="false">
      <c r="A63" s="13" t="s">
        <v>565</v>
      </c>
      <c r="B63" s="14" t="s">
        <v>566</v>
      </c>
      <c r="C63" s="98" t="s">
        <v>41</v>
      </c>
      <c r="D63" s="99" t="str">
        <f aca="false" t="array" ref="D63:D63">IFERROR(INDEX(値リスト!$A$3:$A$9,MATCH(C63,値リスト!$B$3:$B$9,0)),"")</f>
        <v>creature</v>
      </c>
      <c r="E63" s="100" t="s">
        <v>125</v>
      </c>
      <c r="F63" s="101" t="str">
        <f aca="false">IFERROR(INDEX(値リスト!$A$14:$A$24,MATCH(E63,値リスト!$B$14:$B$24,0)),"")</f>
        <v>none</v>
      </c>
      <c r="G63" s="100" t="s">
        <v>63</v>
      </c>
      <c r="H63" s="101" t="str">
        <f aca="false">IFERROR(INDEX(値リスト!$A$27:$A$33,MATCH(G63,値リスト!$B$27:$B$33,0)),"")</f>
        <v>preserve</v>
      </c>
      <c r="I63" s="12" t="s">
        <v>567</v>
      </c>
      <c r="J63" s="102" t="s">
        <v>568</v>
      </c>
      <c r="K63" s="12" t="s">
        <v>341</v>
      </c>
      <c r="L63" s="1" t="n">
        <v>8</v>
      </c>
      <c r="M63" s="97" t="s">
        <v>342</v>
      </c>
      <c r="N63" s="1" t="n">
        <v>200</v>
      </c>
      <c r="O63" s="97" t="s">
        <v>342</v>
      </c>
      <c r="P63" s="1"/>
      <c r="Q63" s="1"/>
      <c r="R63" s="1"/>
      <c r="S63" s="1"/>
      <c r="T63" s="1"/>
      <c r="U63" s="1"/>
      <c r="V63" s="1"/>
      <c r="W63" s="1"/>
      <c r="X63" s="1"/>
      <c r="Y63" s="1"/>
      <c r="Z63" s="1"/>
      <c r="AA63" s="1"/>
      <c r="AB63" s="1"/>
      <c r="AC63" s="1"/>
      <c r="AD63" s="1"/>
      <c r="AE63" s="1"/>
    </row>
    <row r="64" customFormat="false" ht="36" hidden="false" customHeight="true" outlineLevel="0" collapsed="false">
      <c r="A64" s="10" t="s">
        <v>569</v>
      </c>
      <c r="B64" s="11" t="s">
        <v>570</v>
      </c>
      <c r="C64" s="98" t="s">
        <v>41</v>
      </c>
      <c r="D64" s="99" t="str">
        <f aca="false" t="array" ref="D64:D64">IFERROR(INDEX(値リスト!$A$3:$A$9,MATCH(C64,値リスト!$B$3:$B$9,0)),"")</f>
        <v>creature</v>
      </c>
      <c r="E64" s="100" t="s">
        <v>110</v>
      </c>
      <c r="F64" s="101" t="str">
        <f aca="false">IFERROR(INDEX(値リスト!$A$14:$A$24,MATCH(E64,値リスト!$B$14:$B$24,0)),"")</f>
        <v>mystic</v>
      </c>
      <c r="G64" s="100" t="s">
        <v>150</v>
      </c>
      <c r="H64" s="101" t="str">
        <f aca="false">IFERROR(INDEX(値リスト!$A$27:$A$33,MATCH(G64,値リスト!$B$27:$B$33,0)),"")</f>
        <v>permeate</v>
      </c>
      <c r="I64" s="12" t="s">
        <v>571</v>
      </c>
      <c r="J64" s="102" t="s">
        <v>572</v>
      </c>
      <c r="K64" s="12" t="s">
        <v>341</v>
      </c>
      <c r="L64" s="1" t="n">
        <v>8</v>
      </c>
      <c r="M64" s="97" t="s">
        <v>342</v>
      </c>
      <c r="O64" s="97" t="s">
        <v>342</v>
      </c>
      <c r="P64" s="1"/>
      <c r="Q64" s="1"/>
      <c r="R64" s="1"/>
      <c r="S64" s="1"/>
      <c r="T64" s="1"/>
      <c r="U64" s="1"/>
      <c r="V64" s="1"/>
      <c r="W64" s="1"/>
      <c r="X64" s="1"/>
      <c r="Y64" s="1"/>
      <c r="Z64" s="1"/>
      <c r="AA64" s="1"/>
      <c r="AB64" s="1"/>
      <c r="AC64" s="1"/>
      <c r="AD64" s="1"/>
      <c r="AE64" s="1"/>
    </row>
    <row r="65" customFormat="false" ht="36" hidden="false" customHeight="true" outlineLevel="0" collapsed="false">
      <c r="A65" s="13" t="s">
        <v>573</v>
      </c>
      <c r="B65" s="14" t="s">
        <v>574</v>
      </c>
      <c r="C65" s="98" t="s">
        <v>41</v>
      </c>
      <c r="D65" s="99" t="str">
        <f aca="false" t="array" ref="D65:D65">IFERROR(INDEX(値リスト!$A$3:$A$9,MATCH(C65,値リスト!$B$3:$B$9,0)),"")</f>
        <v>creature</v>
      </c>
      <c r="E65" s="100" t="s">
        <v>116</v>
      </c>
      <c r="F65" s="101" t="str">
        <f aca="false">IFERROR(INDEX(値リスト!$A$14:$A$24,MATCH(E65,値リスト!$B$14:$B$24,0)),"")</f>
        <v>insulation</v>
      </c>
      <c r="G65" s="100" t="s">
        <v>63</v>
      </c>
      <c r="H65" s="101" t="str">
        <f aca="false">IFERROR(INDEX(値リスト!$A$27:$A$33,MATCH(G65,値リスト!$B$27:$B$33,0)),"")</f>
        <v>preserve</v>
      </c>
      <c r="I65" s="12" t="s">
        <v>575</v>
      </c>
      <c r="J65" s="102" t="s">
        <v>576</v>
      </c>
      <c r="K65" s="12" t="s">
        <v>341</v>
      </c>
      <c r="L65" s="1" t="n">
        <v>8</v>
      </c>
      <c r="M65" s="97" t="s">
        <v>342</v>
      </c>
      <c r="O65" s="97" t="s">
        <v>342</v>
      </c>
      <c r="P65" s="1"/>
      <c r="Q65" s="1"/>
      <c r="R65" s="1"/>
      <c r="S65" s="1"/>
      <c r="T65" s="1"/>
      <c r="U65" s="1"/>
      <c r="V65" s="1"/>
      <c r="W65" s="1"/>
      <c r="X65" s="1"/>
      <c r="Y65" s="1"/>
      <c r="Z65" s="1"/>
      <c r="AA65" s="1"/>
      <c r="AB65" s="1"/>
      <c r="AC65" s="1"/>
      <c r="AD65" s="1"/>
      <c r="AE65" s="1"/>
    </row>
    <row r="66" customFormat="false" ht="36" hidden="false" customHeight="true" outlineLevel="0" collapsed="false">
      <c r="A66" s="13" t="s">
        <v>577</v>
      </c>
      <c r="B66" s="14" t="s">
        <v>530</v>
      </c>
      <c r="C66" s="98" t="s">
        <v>57</v>
      </c>
      <c r="D66" s="101" t="str">
        <f aca="false">IFERROR(INDEX(値リスト!$A$3:$A$9,MATCH(C66,値リスト!$B$3:$B$9,0)),"")</f>
        <v>processed</v>
      </c>
      <c r="E66" s="100" t="s">
        <v>125</v>
      </c>
      <c r="F66" s="101" t="str">
        <f aca="false">IFERROR(INDEX(値リスト!$A$14:$A$24,MATCH(E66,値リスト!$B$14:$B$24,0)),"")</f>
        <v>none</v>
      </c>
      <c r="G66" s="100" t="s">
        <v>142</v>
      </c>
      <c r="H66" s="101" t="str">
        <f aca="false">IFERROR(INDEX(値リスト!$A$27:$A$33,MATCH(G66,値リスト!$B$27:$B$33,0)),"")</f>
        <v>separate</v>
      </c>
      <c r="I66" s="12" t="s">
        <v>578</v>
      </c>
      <c r="J66" s="102" t="s">
        <v>579</v>
      </c>
      <c r="K66" s="12" t="s">
        <v>580</v>
      </c>
      <c r="L66" s="1" t="n">
        <v>25</v>
      </c>
      <c r="M66" s="97" t="s">
        <v>342</v>
      </c>
      <c r="N66" s="1" t="n">
        <v>100</v>
      </c>
      <c r="O66" s="97" t="s">
        <v>581</v>
      </c>
      <c r="P66" s="1"/>
      <c r="Q66" s="1"/>
      <c r="R66" s="1"/>
      <c r="S66" s="1"/>
      <c r="T66" s="1"/>
      <c r="U66" s="1"/>
      <c r="V66" s="1"/>
      <c r="W66" s="1"/>
      <c r="X66" s="1"/>
      <c r="Y66" s="1"/>
      <c r="Z66" s="1"/>
      <c r="AA66" s="1"/>
      <c r="AB66" s="1"/>
      <c r="AC66" s="1"/>
      <c r="AD66" s="1"/>
      <c r="AE66" s="1"/>
    </row>
    <row r="67" customFormat="false" ht="36" hidden="false" customHeight="true" outlineLevel="0" collapsed="false">
      <c r="A67" s="13" t="s">
        <v>582</v>
      </c>
      <c r="B67" s="14" t="s">
        <v>531</v>
      </c>
      <c r="C67" s="98" t="s">
        <v>57</v>
      </c>
      <c r="D67" s="99" t="str">
        <f aca="false">IFERROR(INDEX(値リスト!$A$3:$A$9,MATCH(C67,値リスト!$B$3:$B$9,0)),"")</f>
        <v>processed</v>
      </c>
      <c r="E67" s="100" t="s">
        <v>125</v>
      </c>
      <c r="F67" s="101" t="str">
        <f aca="false">IFERROR(INDEX(値リスト!$A$14:$A$24,MATCH(E67,値リスト!$B$14:$B$24,0)),"")</f>
        <v>none</v>
      </c>
      <c r="G67" s="100" t="s">
        <v>142</v>
      </c>
      <c r="H67" s="101" t="str">
        <f aca="false">IFERROR(INDEX(値リスト!$A$27:$A$33,MATCH(G67,値リスト!$B$27:$B$33,0)),"")</f>
        <v>separate</v>
      </c>
      <c r="I67" s="12" t="s">
        <v>583</v>
      </c>
      <c r="J67" s="102" t="s">
        <v>584</v>
      </c>
      <c r="K67" s="12" t="s">
        <v>580</v>
      </c>
      <c r="L67" s="1" t="n">
        <v>60</v>
      </c>
      <c r="M67" s="97" t="s">
        <v>342</v>
      </c>
      <c r="N67" s="1" t="n">
        <v>50</v>
      </c>
      <c r="O67" s="97" t="s">
        <v>581</v>
      </c>
      <c r="P67" s="1"/>
      <c r="Q67" s="1"/>
      <c r="R67" s="1"/>
      <c r="S67" s="1"/>
      <c r="T67" s="1"/>
      <c r="U67" s="1"/>
      <c r="V67" s="1"/>
      <c r="W67" s="1"/>
      <c r="X67" s="1"/>
      <c r="Y67" s="1"/>
      <c r="Z67" s="1"/>
      <c r="AA67" s="1"/>
      <c r="AB67" s="1"/>
      <c r="AC67" s="1"/>
      <c r="AD67" s="1"/>
      <c r="AE67" s="1"/>
    </row>
    <row r="68" customFormat="false" ht="36" hidden="false" customHeight="true" outlineLevel="0" collapsed="false">
      <c r="A68" s="13" t="s">
        <v>585</v>
      </c>
      <c r="B68" s="14" t="s">
        <v>532</v>
      </c>
      <c r="C68" s="98" t="s">
        <v>57</v>
      </c>
      <c r="D68" s="99" t="str">
        <f aca="false">IFERROR(INDEX(値リスト!$A$3:$A$9,MATCH(C68,値リスト!$B$3:$B$9,0)),"")</f>
        <v>processed</v>
      </c>
      <c r="E68" s="100" t="s">
        <v>125</v>
      </c>
      <c r="F68" s="101" t="str">
        <f aca="false">IFERROR(INDEX(値リスト!$A$14:$A$24,MATCH(E68,値リスト!$B$14:$B$24,0)),"")</f>
        <v>none</v>
      </c>
      <c r="G68" s="100" t="s">
        <v>153</v>
      </c>
      <c r="H68" s="101" t="str">
        <f aca="false">IFERROR(INDEX(値リスト!$A$27:$A$33,MATCH(G68,値リスト!$B$27:$B$33,0)),"")</f>
        <v>catalyst</v>
      </c>
      <c r="I68" s="12" t="s">
        <v>586</v>
      </c>
      <c r="J68" s="102" t="s">
        <v>587</v>
      </c>
      <c r="K68" s="12" t="s">
        <v>580</v>
      </c>
      <c r="L68" s="1" t="n">
        <v>140</v>
      </c>
      <c r="M68" s="97" t="s">
        <v>342</v>
      </c>
      <c r="N68" s="1" t="n">
        <v>20</v>
      </c>
      <c r="O68" s="97" t="s">
        <v>581</v>
      </c>
      <c r="P68" s="1"/>
      <c r="Q68" s="1"/>
      <c r="R68" s="1"/>
      <c r="S68" s="1"/>
      <c r="T68" s="1"/>
      <c r="U68" s="1"/>
      <c r="V68" s="1"/>
      <c r="W68" s="1"/>
      <c r="X68" s="1"/>
      <c r="Y68" s="1"/>
      <c r="Z68" s="1"/>
      <c r="AA68" s="1"/>
      <c r="AB68" s="1"/>
      <c r="AC68" s="1"/>
      <c r="AD68" s="1"/>
      <c r="AE68" s="1"/>
    </row>
    <row r="69" customFormat="false" ht="36" hidden="false" customHeight="true" outlineLevel="0" collapsed="false">
      <c r="A69" s="13" t="s">
        <v>588</v>
      </c>
      <c r="B69" s="14" t="s">
        <v>589</v>
      </c>
      <c r="C69" s="98" t="s">
        <v>57</v>
      </c>
      <c r="D69" s="99" t="str">
        <f aca="false">IFERROR(INDEX(値リスト!$A$3:$A$9,MATCH(C69,値リスト!$B$3:$B$9,0)),"")</f>
        <v>processed</v>
      </c>
      <c r="E69" s="100" t="s">
        <v>125</v>
      </c>
      <c r="F69" s="101" t="str">
        <f aca="false">IFERROR(INDEX(値リスト!$A$14:$A$24,MATCH(E69,値リスト!$B$14:$B$24,0)),"")</f>
        <v>none</v>
      </c>
      <c r="G69" s="100" t="s">
        <v>133</v>
      </c>
      <c r="H69" s="101" t="str">
        <f aca="false">IFERROR(INDEX(値リスト!$A$27:$A$33,MATCH(G69,値リスト!$B$27:$B$33,0)),"")</f>
        <v>coagulate</v>
      </c>
      <c r="I69" s="12" t="s">
        <v>590</v>
      </c>
      <c r="J69" s="102" t="s">
        <v>591</v>
      </c>
      <c r="K69" s="12" t="s">
        <v>580</v>
      </c>
      <c r="L69" s="1" t="n">
        <v>40</v>
      </c>
      <c r="M69" s="97" t="s">
        <v>342</v>
      </c>
      <c r="N69" s="1" t="n">
        <v>50</v>
      </c>
      <c r="O69" s="97" t="s">
        <v>581</v>
      </c>
      <c r="P69" s="1"/>
      <c r="Q69" s="1"/>
      <c r="R69" s="1"/>
      <c r="S69" s="1"/>
      <c r="T69" s="1"/>
      <c r="U69" s="1"/>
      <c r="V69" s="1"/>
      <c r="W69" s="1"/>
      <c r="X69" s="1"/>
      <c r="Y69" s="1"/>
      <c r="Z69" s="1"/>
      <c r="AA69" s="1"/>
      <c r="AB69" s="1"/>
      <c r="AC69" s="1"/>
      <c r="AD69" s="1"/>
      <c r="AE69" s="1"/>
    </row>
    <row r="70" customFormat="false" ht="36" hidden="false" customHeight="true" outlineLevel="0" collapsed="false">
      <c r="A70" s="13" t="s">
        <v>592</v>
      </c>
      <c r="B70" s="14" t="s">
        <v>593</v>
      </c>
      <c r="C70" s="98" t="s">
        <v>57</v>
      </c>
      <c r="D70" s="99" t="str">
        <f aca="false">IFERROR(INDEX(値リスト!$A$3:$A$9,MATCH(C70,値リスト!$B$3:$B$9,0)),"")</f>
        <v>processed</v>
      </c>
      <c r="E70" s="100" t="s">
        <v>125</v>
      </c>
      <c r="F70" s="101" t="str">
        <f aca="false">IFERROR(INDEX(値リスト!$A$14:$A$24,MATCH(E70,値リスト!$B$14:$B$24,0)),"")</f>
        <v>none</v>
      </c>
      <c r="G70" s="100" t="s">
        <v>150</v>
      </c>
      <c r="H70" s="101" t="str">
        <f aca="false">IFERROR(INDEX(値リスト!$A$27:$A$33,MATCH(G70,値リスト!$B$27:$B$33,0)),"")</f>
        <v>permeate</v>
      </c>
      <c r="I70" s="12" t="s">
        <v>594</v>
      </c>
      <c r="J70" s="102" t="s">
        <v>595</v>
      </c>
      <c r="K70" s="12" t="s">
        <v>580</v>
      </c>
      <c r="L70" s="1" t="n">
        <v>45</v>
      </c>
      <c r="M70" s="97" t="s">
        <v>342</v>
      </c>
      <c r="N70" s="1" t="n">
        <v>50</v>
      </c>
      <c r="O70" s="97" t="s">
        <v>581</v>
      </c>
      <c r="P70" s="1"/>
      <c r="Q70" s="1"/>
      <c r="R70" s="1"/>
      <c r="S70" s="1"/>
      <c r="T70" s="1"/>
      <c r="U70" s="1"/>
      <c r="V70" s="1"/>
      <c r="W70" s="1"/>
      <c r="X70" s="1"/>
      <c r="Y70" s="1"/>
      <c r="Z70" s="1"/>
      <c r="AA70" s="1"/>
      <c r="AB70" s="1"/>
      <c r="AC70" s="1"/>
      <c r="AD70" s="1"/>
      <c r="AE70" s="1"/>
    </row>
    <row r="71" customFormat="false" ht="36" hidden="false" customHeight="true" outlineLevel="0" collapsed="false">
      <c r="A71" s="13" t="s">
        <v>596</v>
      </c>
      <c r="B71" s="14" t="s">
        <v>597</v>
      </c>
      <c r="C71" s="98" t="s">
        <v>57</v>
      </c>
      <c r="D71" s="99" t="str">
        <f aca="false">IFERROR(INDEX(値リスト!$A$3:$A$9,MATCH(C71,値リスト!$B$3:$B$9,0)),"")</f>
        <v>processed</v>
      </c>
      <c r="E71" s="100" t="s">
        <v>125</v>
      </c>
      <c r="F71" s="101" t="str">
        <f aca="false">IFERROR(INDEX(値リスト!$A$14:$A$24,MATCH(E71,値リスト!$B$14:$B$24,0)),"")</f>
        <v>none</v>
      </c>
      <c r="G71" s="100" t="s">
        <v>153</v>
      </c>
      <c r="H71" s="101" t="str">
        <f aca="false">IFERROR(INDEX(値リスト!$A$27:$A$33,MATCH(G71,値リスト!$B$27:$B$33,0)),"")</f>
        <v>catalyst</v>
      </c>
      <c r="I71" s="12" t="s">
        <v>598</v>
      </c>
      <c r="J71" s="102" t="s">
        <v>599</v>
      </c>
      <c r="K71" s="12" t="s">
        <v>580</v>
      </c>
      <c r="L71" s="1" t="n">
        <v>35</v>
      </c>
      <c r="M71" s="97" t="s">
        <v>342</v>
      </c>
      <c r="N71" s="1" t="n">
        <v>50</v>
      </c>
      <c r="O71" s="97" t="s">
        <v>581</v>
      </c>
      <c r="P71" s="1"/>
      <c r="Q71" s="1"/>
      <c r="R71" s="1"/>
      <c r="S71" s="1"/>
      <c r="T71" s="1"/>
      <c r="U71" s="1"/>
      <c r="V71" s="1"/>
      <c r="W71" s="1"/>
      <c r="X71" s="1"/>
      <c r="Y71" s="1"/>
      <c r="Z71" s="1"/>
      <c r="AA71" s="1"/>
      <c r="AB71" s="1"/>
      <c r="AC71" s="1"/>
      <c r="AD71" s="1"/>
      <c r="AE71" s="1"/>
    </row>
    <row r="72" customFormat="false" ht="36" hidden="false" customHeight="true" outlineLevel="0" collapsed="false">
      <c r="A72" s="13" t="s">
        <v>600</v>
      </c>
      <c r="B72" s="14" t="s">
        <v>601</v>
      </c>
      <c r="C72" s="98" t="s">
        <v>57</v>
      </c>
      <c r="D72" s="99" t="str">
        <f aca="false">IFERROR(INDEX(値リスト!$A$3:$A$9,MATCH(C72,値リスト!$B$3:$B$9,0)),"")</f>
        <v>processed</v>
      </c>
      <c r="E72" s="100" t="s">
        <v>125</v>
      </c>
      <c r="F72" s="101" t="str">
        <f aca="false">IFERROR(INDEX(値リスト!$A$14:$A$24,MATCH(E72,値リスト!$B$14:$B$24,0)),"")</f>
        <v>none</v>
      </c>
      <c r="G72" s="100" t="s">
        <v>63</v>
      </c>
      <c r="H72" s="101" t="str">
        <f aca="false">IFERROR(INDEX(値リスト!$A$27:$A$33,MATCH(G72,値リスト!$B$27:$B$33,0)),"")</f>
        <v>preserve</v>
      </c>
      <c r="I72" s="12" t="s">
        <v>602</v>
      </c>
      <c r="J72" s="102" t="s">
        <v>603</v>
      </c>
      <c r="K72" s="12" t="s">
        <v>580</v>
      </c>
      <c r="L72" s="1" t="n">
        <v>40</v>
      </c>
      <c r="M72" s="97" t="s">
        <v>342</v>
      </c>
      <c r="N72" s="1" t="n">
        <v>50</v>
      </c>
      <c r="O72" s="97" t="s">
        <v>581</v>
      </c>
      <c r="P72" s="1"/>
      <c r="Q72" s="1"/>
      <c r="R72" s="1"/>
      <c r="S72" s="1"/>
      <c r="T72" s="1"/>
      <c r="U72" s="1"/>
      <c r="V72" s="1"/>
      <c r="W72" s="1"/>
      <c r="X72" s="1"/>
      <c r="Y72" s="1"/>
      <c r="Z72" s="1"/>
      <c r="AA72" s="1"/>
      <c r="AB72" s="1"/>
      <c r="AC72" s="1"/>
      <c r="AD72" s="1"/>
      <c r="AE72" s="1"/>
    </row>
    <row r="73" customFormat="false" ht="36" hidden="false" customHeight="true" outlineLevel="0" collapsed="false">
      <c r="A73" s="13" t="s">
        <v>604</v>
      </c>
      <c r="B73" s="14" t="s">
        <v>605</v>
      </c>
      <c r="C73" s="98" t="s">
        <v>57</v>
      </c>
      <c r="D73" s="99" t="str">
        <f aca="false">IFERROR(INDEX(値リスト!$A$3:$A$9,MATCH(C73,値リスト!$B$3:$B$9,0)),"")</f>
        <v>processed</v>
      </c>
      <c r="E73" s="100" t="s">
        <v>125</v>
      </c>
      <c r="F73" s="101" t="str">
        <f aca="false">IFERROR(INDEX(値リスト!$A$14:$A$24,MATCH(E73,値リスト!$B$14:$B$24,0)),"")</f>
        <v>none</v>
      </c>
      <c r="G73" s="100" t="s">
        <v>153</v>
      </c>
      <c r="H73" s="101" t="str">
        <f aca="false">IFERROR(INDEX(値リスト!$A$27:$A$33,MATCH(G73,値リスト!$B$27:$B$33,0)),"")</f>
        <v>catalyst</v>
      </c>
      <c r="I73" s="12" t="s">
        <v>606</v>
      </c>
      <c r="J73" s="102" t="s">
        <v>607</v>
      </c>
      <c r="K73" s="12" t="s">
        <v>580</v>
      </c>
      <c r="L73" s="1" t="n">
        <v>150</v>
      </c>
      <c r="M73" s="97" t="s">
        <v>342</v>
      </c>
      <c r="N73" s="1" t="n">
        <v>20</v>
      </c>
      <c r="O73" s="97" t="s">
        <v>608</v>
      </c>
      <c r="P73" s="1"/>
      <c r="Q73" s="1"/>
      <c r="R73" s="1"/>
      <c r="S73" s="1"/>
      <c r="T73" s="1"/>
      <c r="U73" s="1"/>
      <c r="V73" s="1"/>
      <c r="W73" s="1"/>
      <c r="X73" s="1"/>
      <c r="Y73" s="1"/>
      <c r="Z73" s="1"/>
      <c r="AA73" s="1"/>
      <c r="AB73" s="1"/>
      <c r="AC73" s="1"/>
      <c r="AD73" s="1"/>
      <c r="AE73" s="1"/>
    </row>
    <row r="74" customFormat="false" ht="36" hidden="false" customHeight="true" outlineLevel="0" collapsed="false">
      <c r="A74" s="13" t="s">
        <v>609</v>
      </c>
      <c r="B74" s="14" t="s">
        <v>610</v>
      </c>
      <c r="C74" s="98" t="s">
        <v>57</v>
      </c>
      <c r="D74" s="99" t="str">
        <f aca="false">IFERROR(INDEX(値リスト!$A$3:$A$9,MATCH(C74,値リスト!$B$3:$B$9,0)),"")</f>
        <v>processed</v>
      </c>
      <c r="E74" s="100" t="s">
        <v>92</v>
      </c>
      <c r="F74" s="101" t="str">
        <f aca="false">IFERROR(INDEX(値リスト!$A$14:$A$24,MATCH(E74,値リスト!$B$14:$B$24,0)),"")</f>
        <v>sedation</v>
      </c>
      <c r="G74" s="100" t="s">
        <v>63</v>
      </c>
      <c r="H74" s="101" t="str">
        <f aca="false">IFERROR(INDEX(値リスト!$A$27:$A$33,MATCH(G74,値リスト!$B$27:$B$33,0)),"")</f>
        <v>preserve</v>
      </c>
      <c r="I74" s="12" t="s">
        <v>611</v>
      </c>
      <c r="J74" s="102" t="s">
        <v>612</v>
      </c>
      <c r="K74" s="12" t="s">
        <v>580</v>
      </c>
      <c r="L74" s="1" t="n">
        <v>70</v>
      </c>
      <c r="M74" s="97" t="s">
        <v>342</v>
      </c>
      <c r="N74" s="1" t="n">
        <v>50</v>
      </c>
      <c r="O74" s="97" t="s">
        <v>608</v>
      </c>
      <c r="P74" s="1"/>
      <c r="Q74" s="1"/>
      <c r="R74" s="1"/>
      <c r="S74" s="1"/>
      <c r="T74" s="1"/>
      <c r="U74" s="1"/>
      <c r="V74" s="1"/>
      <c r="W74" s="1"/>
      <c r="X74" s="1"/>
      <c r="Y74" s="1"/>
      <c r="Z74" s="1"/>
      <c r="AA74" s="1"/>
      <c r="AB74" s="1"/>
      <c r="AC74" s="1"/>
      <c r="AD74" s="1"/>
      <c r="AE74" s="1"/>
    </row>
    <row r="75" customFormat="false" ht="36" hidden="false" customHeight="true" outlineLevel="0" collapsed="false">
      <c r="A75" s="13" t="s">
        <v>613</v>
      </c>
      <c r="B75" s="14" t="s">
        <v>614</v>
      </c>
      <c r="C75" s="98" t="s">
        <v>57</v>
      </c>
      <c r="D75" s="99" t="str">
        <f aca="false">IFERROR(INDEX(値リスト!$A$3:$A$9,MATCH(C75,値リスト!$B$3:$B$9,0)),"")</f>
        <v>processed</v>
      </c>
      <c r="E75" s="100" t="s">
        <v>125</v>
      </c>
      <c r="F75" s="101" t="str">
        <f aca="false">IFERROR(INDEX(値リスト!$A$14:$A$24,MATCH(E75,値リスト!$B$14:$B$24,0)),"")</f>
        <v>none</v>
      </c>
      <c r="G75" s="100" t="s">
        <v>142</v>
      </c>
      <c r="H75" s="101" t="str">
        <f aca="false">IFERROR(INDEX(値リスト!$A$27:$A$33,MATCH(G75,値リスト!$B$27:$B$33,0)),"")</f>
        <v>separate</v>
      </c>
      <c r="I75" s="12" t="s">
        <v>615</v>
      </c>
      <c r="J75" s="102" t="s">
        <v>616</v>
      </c>
      <c r="K75" s="12" t="s">
        <v>580</v>
      </c>
      <c r="L75" s="1" t="n">
        <v>10</v>
      </c>
      <c r="M75" s="97" t="s">
        <v>342</v>
      </c>
      <c r="N75" s="1" t="n">
        <v>100</v>
      </c>
      <c r="O75" s="97" t="s">
        <v>617</v>
      </c>
      <c r="P75" s="1"/>
      <c r="Q75" s="1"/>
      <c r="R75" s="1"/>
      <c r="S75" s="1"/>
      <c r="T75" s="1"/>
      <c r="U75" s="1"/>
      <c r="V75" s="1"/>
      <c r="W75" s="1"/>
      <c r="X75" s="1"/>
      <c r="Y75" s="1"/>
      <c r="Z75" s="1"/>
      <c r="AA75" s="1"/>
      <c r="AB75" s="1"/>
      <c r="AC75" s="1"/>
      <c r="AD75" s="1"/>
      <c r="AE75" s="1"/>
    </row>
    <row r="76" customFormat="false" ht="36" hidden="false" customHeight="true" outlineLevel="0" collapsed="false">
      <c r="A76" s="13" t="s">
        <v>618</v>
      </c>
      <c r="B76" s="14" t="s">
        <v>619</v>
      </c>
      <c r="C76" s="98" t="s">
        <v>57</v>
      </c>
      <c r="D76" s="99" t="str">
        <f aca="false">IFERROR(INDEX(値リスト!$A$3:$A$9,MATCH(C76,値リスト!$B$3:$B$9,0)),"")</f>
        <v>processed</v>
      </c>
      <c r="E76" s="100" t="s">
        <v>125</v>
      </c>
      <c r="F76" s="101" t="str">
        <f aca="false">IFERROR(INDEX(値リスト!$A$14:$A$24,MATCH(E76,値リスト!$B$14:$B$24,0)),"")</f>
        <v>none</v>
      </c>
      <c r="G76" s="100" t="s">
        <v>133</v>
      </c>
      <c r="H76" s="101" t="str">
        <f aca="false">IFERROR(INDEX(値リスト!$A$27:$A$33,MATCH(G76,値リスト!$B$27:$B$33,0)),"")</f>
        <v>coagulate</v>
      </c>
      <c r="I76" s="12" t="s">
        <v>620</v>
      </c>
      <c r="J76" s="102" t="s">
        <v>621</v>
      </c>
      <c r="K76" s="12" t="s">
        <v>580</v>
      </c>
      <c r="L76" s="1" t="n">
        <v>12</v>
      </c>
      <c r="M76" s="97" t="s">
        <v>342</v>
      </c>
      <c r="N76" s="1" t="n">
        <v>100</v>
      </c>
      <c r="O76" s="97" t="s">
        <v>617</v>
      </c>
      <c r="P76" s="1"/>
      <c r="Q76" s="1"/>
      <c r="R76" s="1"/>
      <c r="S76" s="1"/>
      <c r="T76" s="1"/>
      <c r="U76" s="1"/>
      <c r="V76" s="1"/>
      <c r="W76" s="1"/>
      <c r="X76" s="1"/>
      <c r="Y76" s="1"/>
      <c r="Z76" s="1"/>
      <c r="AA76" s="1"/>
      <c r="AB76" s="1"/>
      <c r="AC76" s="1"/>
      <c r="AD76" s="1"/>
      <c r="AE76" s="1"/>
    </row>
    <row r="77" customFormat="false" ht="36" hidden="false" customHeight="true" outlineLevel="0" collapsed="false">
      <c r="A77" s="13" t="s">
        <v>622</v>
      </c>
      <c r="B77" s="14" t="s">
        <v>623</v>
      </c>
      <c r="C77" s="98" t="s">
        <v>57</v>
      </c>
      <c r="D77" s="99" t="str">
        <f aca="false">IFERROR(INDEX(値リスト!$A$3:$A$9,MATCH(C77,値リスト!$B$3:$B$9,0)),"")</f>
        <v>processed</v>
      </c>
      <c r="E77" s="100" t="s">
        <v>72</v>
      </c>
      <c r="F77" s="101" t="str">
        <f aca="false">IFERROR(INDEX(値リスト!$A$14:$A$24,MATCH(E77,値リスト!$B$14:$B$24,0)),"")</f>
        <v>healing</v>
      </c>
      <c r="G77" s="100" t="s">
        <v>150</v>
      </c>
      <c r="H77" s="101" t="str">
        <f aca="false">IFERROR(INDEX(値リスト!$A$27:$A$33,MATCH(G77,値リスト!$B$27:$B$33,0)),"")</f>
        <v>permeate</v>
      </c>
      <c r="I77" s="12" t="s">
        <v>624</v>
      </c>
      <c r="J77" s="102" t="s">
        <v>625</v>
      </c>
      <c r="K77" s="12" t="s">
        <v>580</v>
      </c>
      <c r="L77" s="1" t="n">
        <v>30</v>
      </c>
      <c r="M77" s="97" t="s">
        <v>342</v>
      </c>
      <c r="N77" s="1" t="n">
        <v>100</v>
      </c>
      <c r="O77" s="97" t="s">
        <v>617</v>
      </c>
      <c r="P77" s="1"/>
      <c r="Q77" s="1"/>
      <c r="R77" s="1"/>
      <c r="S77" s="1"/>
      <c r="T77" s="1"/>
      <c r="U77" s="1"/>
      <c r="V77" s="1"/>
      <c r="W77" s="1"/>
      <c r="X77" s="1"/>
      <c r="Y77" s="1"/>
      <c r="Z77" s="1"/>
      <c r="AA77" s="1"/>
      <c r="AB77" s="1"/>
      <c r="AC77" s="1"/>
      <c r="AD77" s="1"/>
      <c r="AE77" s="1"/>
    </row>
    <row r="78" customFormat="false" ht="36" hidden="false" customHeight="true" outlineLevel="0" collapsed="false">
      <c r="A78" s="13" t="s">
        <v>626</v>
      </c>
      <c r="B78" s="14" t="s">
        <v>627</v>
      </c>
      <c r="C78" s="98" t="s">
        <v>57</v>
      </c>
      <c r="D78" s="99" t="str">
        <f aca="false">IFERROR(INDEX(値リスト!$A$3:$A$9,MATCH(C78,値リスト!$B$3:$B$9,0)),"")</f>
        <v>processed</v>
      </c>
      <c r="E78" s="100" t="s">
        <v>125</v>
      </c>
      <c r="F78" s="101" t="str">
        <f aca="false">IFERROR(INDEX(値リスト!$A$14:$A$24,MATCH(E78,値リスト!$B$14:$B$24,0)),"")</f>
        <v>none</v>
      </c>
      <c r="G78" s="100" t="s">
        <v>142</v>
      </c>
      <c r="H78" s="101" t="str">
        <f aca="false">IFERROR(INDEX(値リスト!$A$27:$A$33,MATCH(G78,値リスト!$B$27:$B$33,0)),"")</f>
        <v>separate</v>
      </c>
      <c r="I78" s="12" t="s">
        <v>628</v>
      </c>
      <c r="J78" s="102" t="s">
        <v>629</v>
      </c>
      <c r="K78" s="12" t="s">
        <v>580</v>
      </c>
      <c r="L78" s="1" t="n">
        <v>18</v>
      </c>
      <c r="M78" s="97" t="s">
        <v>342</v>
      </c>
      <c r="N78" s="1" t="n">
        <v>100</v>
      </c>
      <c r="O78" s="97" t="s">
        <v>617</v>
      </c>
      <c r="P78" s="1"/>
      <c r="Q78" s="1"/>
      <c r="R78" s="1"/>
      <c r="S78" s="1"/>
      <c r="T78" s="1"/>
      <c r="U78" s="1"/>
      <c r="V78" s="1"/>
      <c r="W78" s="1"/>
      <c r="X78" s="1"/>
      <c r="Y78" s="1"/>
      <c r="Z78" s="1"/>
      <c r="AA78" s="1"/>
      <c r="AB78" s="1"/>
      <c r="AC78" s="1"/>
      <c r="AD78" s="1"/>
      <c r="AE78" s="1"/>
    </row>
    <row r="79" customFormat="false" ht="36" hidden="false" customHeight="true" outlineLevel="0" collapsed="false">
      <c r="A79" s="13" t="s">
        <v>630</v>
      </c>
      <c r="B79" s="14" t="s">
        <v>631</v>
      </c>
      <c r="C79" s="98" t="s">
        <v>57</v>
      </c>
      <c r="D79" s="99" t="str">
        <f aca="false">IFERROR(INDEX(値リスト!$A$3:$A$9,MATCH(C79,値リスト!$B$3:$B$9,0)),"")</f>
        <v>processed</v>
      </c>
      <c r="E79" s="100" t="s">
        <v>125</v>
      </c>
      <c r="F79" s="101" t="str">
        <f aca="false">IFERROR(INDEX(値リスト!$A$14:$A$24,MATCH(E79,値リスト!$B$14:$B$24,0)),"")</f>
        <v>none</v>
      </c>
      <c r="G79" s="100" t="s">
        <v>63</v>
      </c>
      <c r="H79" s="101" t="str">
        <f aca="false">IFERROR(INDEX(値リスト!$A$27:$A$33,MATCH(G79,値リスト!$B$27:$B$33,0)),"")</f>
        <v>preserve</v>
      </c>
      <c r="I79" s="12" t="s">
        <v>632</v>
      </c>
      <c r="J79" s="102" t="s">
        <v>633</v>
      </c>
      <c r="K79" s="12" t="s">
        <v>580</v>
      </c>
      <c r="L79" s="1" t="n">
        <v>20</v>
      </c>
      <c r="M79" s="97" t="s">
        <v>342</v>
      </c>
      <c r="N79" s="1" t="n">
        <v>100</v>
      </c>
      <c r="O79" s="97" t="s">
        <v>617</v>
      </c>
      <c r="P79" s="1"/>
      <c r="Q79" s="1"/>
      <c r="R79" s="1"/>
      <c r="S79" s="1"/>
      <c r="T79" s="1"/>
      <c r="U79" s="1"/>
      <c r="V79" s="1"/>
      <c r="W79" s="1"/>
      <c r="X79" s="1"/>
      <c r="Y79" s="1"/>
      <c r="Z79" s="1"/>
      <c r="AA79" s="1"/>
      <c r="AB79" s="1"/>
      <c r="AC79" s="1"/>
      <c r="AD79" s="1"/>
      <c r="AE79" s="1"/>
    </row>
    <row r="80" customFormat="false" ht="36" hidden="false" customHeight="true" outlineLevel="0" collapsed="false">
      <c r="A80" s="13" t="s">
        <v>634</v>
      </c>
      <c r="B80" s="14" t="s">
        <v>635</v>
      </c>
      <c r="C80" s="98" t="s">
        <v>57</v>
      </c>
      <c r="D80" s="99" t="str">
        <f aca="false">IFERROR(INDEX(値リスト!$A$3:$A$9,MATCH(C80,値リスト!$B$3:$B$9,0)),"")</f>
        <v>processed</v>
      </c>
      <c r="E80" s="100" t="s">
        <v>125</v>
      </c>
      <c r="F80" s="101" t="str">
        <f aca="false">IFERROR(INDEX(値リスト!$A$14:$A$24,MATCH(E80,値リスト!$B$14:$B$24,0)),"")</f>
        <v>none</v>
      </c>
      <c r="G80" s="100" t="s">
        <v>147</v>
      </c>
      <c r="H80" s="101" t="str">
        <f aca="false">IFERROR(INDEX(値リスト!$A$27:$A$33,MATCH(G80,値リスト!$B$27:$B$33,0)),"")</f>
        <v>volatile</v>
      </c>
      <c r="I80" s="12" t="s">
        <v>636</v>
      </c>
      <c r="J80" s="102" t="s">
        <v>637</v>
      </c>
      <c r="K80" s="12" t="s">
        <v>580</v>
      </c>
      <c r="L80" s="1" t="n">
        <v>45</v>
      </c>
      <c r="M80" s="97" t="s">
        <v>342</v>
      </c>
      <c r="N80" s="1" t="n">
        <v>50</v>
      </c>
      <c r="O80" s="97" t="s">
        <v>617</v>
      </c>
      <c r="P80" s="1"/>
      <c r="Q80" s="1"/>
      <c r="R80" s="1"/>
      <c r="S80" s="1"/>
      <c r="T80" s="1"/>
      <c r="U80" s="1"/>
      <c r="V80" s="1"/>
      <c r="W80" s="1"/>
      <c r="X80" s="1"/>
      <c r="Y80" s="1"/>
      <c r="Z80" s="1"/>
      <c r="AA80" s="1"/>
      <c r="AB80" s="1"/>
      <c r="AC80" s="1"/>
      <c r="AD80" s="1"/>
      <c r="AE80" s="1"/>
    </row>
    <row r="81" customFormat="false" ht="36" hidden="false" customHeight="true" outlineLevel="0" collapsed="false">
      <c r="A81" s="13" t="s">
        <v>638</v>
      </c>
      <c r="B81" s="14" t="s">
        <v>639</v>
      </c>
      <c r="C81" s="98" t="s">
        <v>57</v>
      </c>
      <c r="D81" s="99" t="str">
        <f aca="false">IFERROR(INDEX(値リスト!$A$3:$A$9,MATCH(C81,値リスト!$B$3:$B$9,0)),"")</f>
        <v>processed</v>
      </c>
      <c r="E81" s="100" t="s">
        <v>98</v>
      </c>
      <c r="F81" s="101" t="str">
        <f aca="false">IFERROR(INDEX(値リスト!$A$14:$A$24,MATCH(E81,値リスト!$B$14:$B$24,0)),"")</f>
        <v>stable</v>
      </c>
      <c r="G81" s="100" t="s">
        <v>153</v>
      </c>
      <c r="H81" s="101" t="str">
        <f aca="false">IFERROR(INDEX(値リスト!$A$27:$A$33,MATCH(G81,値リスト!$B$27:$B$33,0)),"")</f>
        <v>catalyst</v>
      </c>
      <c r="I81" s="12" t="s">
        <v>640</v>
      </c>
      <c r="J81" s="102" t="s">
        <v>641</v>
      </c>
      <c r="K81" s="12" t="s">
        <v>580</v>
      </c>
      <c r="L81" s="1" t="n">
        <v>25</v>
      </c>
      <c r="M81" s="97" t="s">
        <v>342</v>
      </c>
      <c r="N81" s="1" t="n">
        <v>100</v>
      </c>
      <c r="O81" s="97" t="s">
        <v>617</v>
      </c>
      <c r="P81" s="1"/>
      <c r="Q81" s="1"/>
      <c r="R81" s="1"/>
      <c r="S81" s="1"/>
      <c r="T81" s="1"/>
      <c r="U81" s="1"/>
      <c r="V81" s="1"/>
      <c r="W81" s="1"/>
      <c r="X81" s="1"/>
      <c r="Y81" s="1"/>
      <c r="Z81" s="1"/>
      <c r="AA81" s="1"/>
      <c r="AB81" s="1"/>
      <c r="AC81" s="1"/>
      <c r="AD81" s="1"/>
      <c r="AE81" s="1"/>
    </row>
    <row r="82" customFormat="false" ht="36" hidden="false" customHeight="true" outlineLevel="0" collapsed="false">
      <c r="A82" s="13" t="s">
        <v>642</v>
      </c>
      <c r="B82" s="14" t="s">
        <v>643</v>
      </c>
      <c r="C82" s="98" t="s">
        <v>57</v>
      </c>
      <c r="D82" s="99" t="str">
        <f aca="false">IFERROR(INDEX(値リスト!$A$3:$A$9,MATCH(C82,値リスト!$B$3:$B$9,0)),"")</f>
        <v>processed</v>
      </c>
      <c r="E82" s="100" t="s">
        <v>125</v>
      </c>
      <c r="F82" s="101" t="str">
        <f aca="false">IFERROR(INDEX(値リスト!$A$14:$A$24,MATCH(E82,値リスト!$B$14:$B$24,0)),"")</f>
        <v>none</v>
      </c>
      <c r="G82" s="100" t="s">
        <v>153</v>
      </c>
      <c r="H82" s="101" t="str">
        <f aca="false">IFERROR(INDEX(値リスト!$A$27:$A$33,MATCH(G82,値リスト!$B$27:$B$33,0)),"")</f>
        <v>catalyst</v>
      </c>
      <c r="I82" s="12" t="s">
        <v>644</v>
      </c>
      <c r="J82" s="102" t="s">
        <v>645</v>
      </c>
      <c r="K82" s="12" t="s">
        <v>580</v>
      </c>
      <c r="L82" s="1" t="n">
        <v>22</v>
      </c>
      <c r="M82" s="97" t="s">
        <v>342</v>
      </c>
      <c r="N82" s="1" t="n">
        <v>100</v>
      </c>
      <c r="O82" s="97" t="s">
        <v>608</v>
      </c>
      <c r="P82" s="1"/>
      <c r="Q82" s="1"/>
      <c r="R82" s="1"/>
      <c r="S82" s="1"/>
      <c r="T82" s="1"/>
      <c r="U82" s="1"/>
      <c r="V82" s="1"/>
      <c r="W82" s="1"/>
      <c r="X82" s="1"/>
      <c r="Y82" s="1"/>
      <c r="Z82" s="1"/>
      <c r="AA82" s="1"/>
      <c r="AB82" s="1"/>
      <c r="AC82" s="1"/>
      <c r="AD82" s="1"/>
      <c r="AE82" s="1"/>
    </row>
    <row r="83" customFormat="false" ht="36" hidden="false" customHeight="true" outlineLevel="0" collapsed="false">
      <c r="A83" s="13" t="s">
        <v>646</v>
      </c>
      <c r="B83" s="14" t="s">
        <v>647</v>
      </c>
      <c r="C83" s="98" t="s">
        <v>57</v>
      </c>
      <c r="D83" s="99" t="str">
        <f aca="false">IFERROR(INDEX(値リスト!$A$3:$A$9,MATCH(C83,値リスト!$B$3:$B$9,0)),"")</f>
        <v>processed</v>
      </c>
      <c r="E83" s="100" t="s">
        <v>125</v>
      </c>
      <c r="F83" s="101" t="str">
        <f aca="false">IFERROR(INDEX(値リスト!$A$14:$A$24,MATCH(E83,値リスト!$B$14:$B$24,0)),"")</f>
        <v>none</v>
      </c>
      <c r="G83" s="100" t="s">
        <v>142</v>
      </c>
      <c r="H83" s="101" t="str">
        <f aca="false">IFERROR(INDEX(値リスト!$A$27:$A$33,MATCH(G83,値リスト!$B$27:$B$33,0)),"")</f>
        <v>separate</v>
      </c>
      <c r="I83" s="12" t="s">
        <v>648</v>
      </c>
      <c r="J83" s="102" t="s">
        <v>649</v>
      </c>
      <c r="K83" s="12" t="s">
        <v>580</v>
      </c>
      <c r="L83" s="1" t="n">
        <v>25</v>
      </c>
      <c r="M83" s="97" t="s">
        <v>342</v>
      </c>
      <c r="N83" s="1" t="n">
        <v>100</v>
      </c>
      <c r="O83" s="97" t="s">
        <v>581</v>
      </c>
      <c r="P83" s="1"/>
      <c r="Q83" s="1"/>
      <c r="R83" s="1"/>
      <c r="S83" s="1"/>
      <c r="T83" s="1"/>
      <c r="U83" s="1"/>
      <c r="V83" s="1"/>
      <c r="W83" s="1"/>
      <c r="X83" s="1"/>
      <c r="Y83" s="1"/>
      <c r="Z83" s="1"/>
      <c r="AA83" s="1"/>
      <c r="AB83" s="1"/>
      <c r="AC83" s="1"/>
      <c r="AD83" s="1"/>
      <c r="AE83" s="1"/>
    </row>
    <row r="84" customFormat="false" ht="36" hidden="false" customHeight="true" outlineLevel="0" collapsed="false">
      <c r="A84" s="13" t="s">
        <v>650</v>
      </c>
      <c r="B84" s="14" t="s">
        <v>651</v>
      </c>
      <c r="C84" s="98" t="s">
        <v>57</v>
      </c>
      <c r="D84" s="99" t="str">
        <f aca="false">IFERROR(INDEX(値リスト!$A$3:$A$9,MATCH(C84,値リスト!$B$3:$B$9,0)),"")</f>
        <v>processed</v>
      </c>
      <c r="E84" s="100" t="s">
        <v>125</v>
      </c>
      <c r="F84" s="101" t="str">
        <f aca="false">IFERROR(INDEX(値リスト!$A$14:$A$24,MATCH(E84,値リスト!$B$14:$B$24,0)),"")</f>
        <v>none</v>
      </c>
      <c r="G84" s="100" t="s">
        <v>63</v>
      </c>
      <c r="H84" s="101" t="str">
        <f aca="false">IFERROR(INDEX(値リスト!$A$27:$A$33,MATCH(G84,値リスト!$B$27:$B$33,0)),"")</f>
        <v>preserve</v>
      </c>
      <c r="I84" s="12" t="s">
        <v>652</v>
      </c>
      <c r="J84" s="102" t="s">
        <v>653</v>
      </c>
      <c r="K84" s="12" t="s">
        <v>580</v>
      </c>
      <c r="L84" s="1" t="n">
        <v>35</v>
      </c>
      <c r="M84" s="97" t="s">
        <v>342</v>
      </c>
      <c r="N84" s="1" t="n">
        <v>50</v>
      </c>
      <c r="O84" s="97" t="s">
        <v>581</v>
      </c>
      <c r="P84" s="1"/>
      <c r="Q84" s="1"/>
      <c r="R84" s="1"/>
      <c r="S84" s="1"/>
      <c r="T84" s="1"/>
      <c r="U84" s="1"/>
      <c r="V84" s="1"/>
      <c r="W84" s="1"/>
      <c r="X84" s="1"/>
      <c r="Y84" s="1"/>
      <c r="Z84" s="1"/>
      <c r="AA84" s="1"/>
      <c r="AB84" s="1"/>
      <c r="AC84" s="1"/>
      <c r="AD84" s="1"/>
      <c r="AE84" s="1"/>
    </row>
    <row r="85" customFormat="false" ht="36" hidden="false" customHeight="true" outlineLevel="0" collapsed="false">
      <c r="A85" s="13" t="s">
        <v>654</v>
      </c>
      <c r="B85" s="14" t="s">
        <v>655</v>
      </c>
      <c r="C85" s="98" t="s">
        <v>57</v>
      </c>
      <c r="D85" s="99" t="str">
        <f aca="false">IFERROR(INDEX(値リスト!$A$3:$A$9,MATCH(C85,値リスト!$B$3:$B$9,0)),"")</f>
        <v>processed</v>
      </c>
      <c r="E85" s="100" t="s">
        <v>125</v>
      </c>
      <c r="F85" s="101" t="str">
        <f aca="false">IFERROR(INDEX(値リスト!$A$14:$A$24,MATCH(E85,値リスト!$B$14:$B$24,0)),"")</f>
        <v>none</v>
      </c>
      <c r="G85" s="100" t="s">
        <v>133</v>
      </c>
      <c r="H85" s="101" t="str">
        <f aca="false">IFERROR(INDEX(値リスト!$A$27:$A$33,MATCH(G85,値リスト!$B$27:$B$33,0)),"")</f>
        <v>coagulate</v>
      </c>
      <c r="I85" s="12" t="s">
        <v>656</v>
      </c>
      <c r="J85" s="102" t="s">
        <v>657</v>
      </c>
      <c r="K85" s="12" t="s">
        <v>580</v>
      </c>
      <c r="L85" s="1" t="n">
        <v>50</v>
      </c>
      <c r="M85" s="97" t="s">
        <v>342</v>
      </c>
      <c r="N85" s="1" t="n">
        <v>50</v>
      </c>
      <c r="O85" s="97" t="s">
        <v>608</v>
      </c>
      <c r="P85" s="1"/>
      <c r="Q85" s="1"/>
      <c r="R85" s="1"/>
      <c r="S85" s="1"/>
      <c r="T85" s="1"/>
      <c r="U85" s="1"/>
      <c r="V85" s="1"/>
      <c r="W85" s="1"/>
      <c r="X85" s="1"/>
      <c r="Y85" s="1"/>
      <c r="Z85" s="1"/>
      <c r="AA85" s="1"/>
      <c r="AB85" s="1"/>
      <c r="AC85" s="1"/>
      <c r="AD85" s="1"/>
      <c r="AE85" s="1"/>
    </row>
    <row r="86" customFormat="false" ht="36" hidden="false" customHeight="true" outlineLevel="0" collapsed="false">
      <c r="A86" s="13" t="s">
        <v>658</v>
      </c>
      <c r="B86" s="14" t="s">
        <v>659</v>
      </c>
      <c r="C86" s="98" t="s">
        <v>57</v>
      </c>
      <c r="D86" s="99" t="str">
        <f aca="false">IFERROR(INDEX(値リスト!$A$3:$A$9,MATCH(C86,値リスト!$B$3:$B$9,0)),"")</f>
        <v>processed</v>
      </c>
      <c r="E86" s="100" t="s">
        <v>125</v>
      </c>
      <c r="F86" s="101" t="str">
        <f aca="false">IFERROR(INDEX(値リスト!$A$14:$A$24,MATCH(E86,値リスト!$B$14:$B$24,0)),"")</f>
        <v>none</v>
      </c>
      <c r="G86" s="100" t="s">
        <v>150</v>
      </c>
      <c r="H86" s="101" t="str">
        <f aca="false">IFERROR(INDEX(値リスト!$A$27:$A$33,MATCH(G86,値リスト!$B$27:$B$33,0)),"")</f>
        <v>permeate</v>
      </c>
      <c r="I86" s="12" t="s">
        <v>660</v>
      </c>
      <c r="J86" s="102" t="s">
        <v>661</v>
      </c>
      <c r="K86" s="12" t="s">
        <v>580</v>
      </c>
      <c r="L86" s="1" t="n">
        <v>75</v>
      </c>
      <c r="M86" s="97" t="s">
        <v>342</v>
      </c>
      <c r="N86" s="1" t="n">
        <v>50</v>
      </c>
      <c r="O86" s="97" t="s">
        <v>581</v>
      </c>
      <c r="P86" s="1"/>
      <c r="Q86" s="1"/>
      <c r="R86" s="1"/>
      <c r="S86" s="1"/>
      <c r="T86" s="1"/>
      <c r="U86" s="1"/>
      <c r="V86" s="1"/>
      <c r="W86" s="1"/>
      <c r="X86" s="1"/>
      <c r="Y86" s="1"/>
      <c r="Z86" s="1"/>
      <c r="AA86" s="1"/>
      <c r="AB86" s="1"/>
      <c r="AC86" s="1"/>
      <c r="AD86" s="1"/>
      <c r="AE86" s="1"/>
    </row>
    <row r="87" customFormat="false" ht="36" hidden="false" customHeight="true" outlineLevel="0" collapsed="false">
      <c r="A87" s="13" t="s">
        <v>662</v>
      </c>
      <c r="B87" s="14" t="s">
        <v>663</v>
      </c>
      <c r="C87" s="98" t="s">
        <v>57</v>
      </c>
      <c r="D87" s="99" t="str">
        <f aca="false">IFERROR(INDEX(値リスト!$A$3:$A$9,MATCH(C87,値リスト!$B$3:$B$9,0)),"")</f>
        <v>processed</v>
      </c>
      <c r="E87" s="100" t="s">
        <v>77</v>
      </c>
      <c r="F87" s="101" t="str">
        <f aca="false">IFERROR(INDEX(値リスト!$A$14:$A$24,MATCH(E87,値リスト!$B$14:$B$24,0)),"")</f>
        <v>detox</v>
      </c>
      <c r="G87" s="100" t="s">
        <v>150</v>
      </c>
      <c r="H87" s="101" t="str">
        <f aca="false">IFERROR(INDEX(値リスト!$A$27:$A$33,MATCH(G87,値リスト!$B$27:$B$33,0)),"")</f>
        <v>permeate</v>
      </c>
      <c r="I87" s="12" t="s">
        <v>664</v>
      </c>
      <c r="J87" s="102" t="s">
        <v>665</v>
      </c>
      <c r="K87" s="12" t="s">
        <v>580</v>
      </c>
      <c r="L87" s="1" t="n">
        <v>90</v>
      </c>
      <c r="M87" s="97" t="s">
        <v>342</v>
      </c>
      <c r="N87" s="1" t="n">
        <v>20</v>
      </c>
      <c r="O87" s="97" t="s">
        <v>581</v>
      </c>
      <c r="P87" s="1"/>
      <c r="Q87" s="1"/>
      <c r="R87" s="1"/>
      <c r="S87" s="1"/>
      <c r="T87" s="1"/>
      <c r="U87" s="1"/>
      <c r="V87" s="1"/>
      <c r="W87" s="1"/>
      <c r="X87" s="1"/>
      <c r="Y87" s="1"/>
      <c r="Z87" s="1"/>
      <c r="AA87" s="1"/>
      <c r="AB87" s="1"/>
      <c r="AC87" s="1"/>
      <c r="AD87" s="1"/>
      <c r="AE87" s="1"/>
    </row>
    <row r="88" customFormat="false" ht="36" hidden="false" customHeight="true" outlineLevel="0" collapsed="false">
      <c r="A88" s="13" t="s">
        <v>666</v>
      </c>
      <c r="B88" s="14" t="s">
        <v>667</v>
      </c>
      <c r="C88" s="98" t="s">
        <v>57</v>
      </c>
      <c r="D88" s="99" t="str">
        <f aca="false">IFERROR(INDEX(値リスト!$A$3:$A$9,MATCH(C88,値リスト!$B$3:$B$9,0)),"")</f>
        <v>processed</v>
      </c>
      <c r="E88" s="100" t="s">
        <v>120</v>
      </c>
      <c r="F88" s="101" t="str">
        <f aca="false">IFERROR(INDEX(値リスト!$A$14:$A$24,MATCH(E88,値リスト!$B$14:$B$24,0)),"")</f>
        <v>poison</v>
      </c>
      <c r="G88" s="100" t="s">
        <v>150</v>
      </c>
      <c r="H88" s="101" t="str">
        <f aca="false">IFERROR(INDEX(値リスト!$A$27:$A$33,MATCH(G88,値リスト!$B$27:$B$33,0)),"")</f>
        <v>permeate</v>
      </c>
      <c r="I88" s="12" t="s">
        <v>668</v>
      </c>
      <c r="J88" s="102" t="s">
        <v>669</v>
      </c>
      <c r="K88" s="12" t="s">
        <v>580</v>
      </c>
      <c r="L88" s="1" t="n">
        <v>130</v>
      </c>
      <c r="M88" s="97" t="s">
        <v>342</v>
      </c>
      <c r="N88" s="1" t="n">
        <v>20</v>
      </c>
      <c r="O88" s="97" t="s">
        <v>581</v>
      </c>
      <c r="P88" s="1"/>
      <c r="Q88" s="1"/>
      <c r="R88" s="1"/>
      <c r="S88" s="1"/>
      <c r="T88" s="1"/>
      <c r="U88" s="1"/>
      <c r="V88" s="1"/>
      <c r="W88" s="1"/>
      <c r="X88" s="1"/>
      <c r="Y88" s="1"/>
      <c r="Z88" s="1"/>
      <c r="AA88" s="1"/>
      <c r="AB88" s="1"/>
      <c r="AC88" s="1"/>
      <c r="AD88" s="1"/>
      <c r="AE88" s="1"/>
    </row>
    <row r="89" customFormat="false" ht="36" hidden="false" customHeight="true" outlineLevel="0" collapsed="false">
      <c r="A89" s="13" t="s">
        <v>670</v>
      </c>
      <c r="B89" s="14" t="s">
        <v>671</v>
      </c>
      <c r="C89" s="98" t="s">
        <v>57</v>
      </c>
      <c r="D89" s="99" t="str">
        <f aca="false">IFERROR(INDEX(値リスト!$A$3:$A$9,MATCH(C89,値リスト!$B$3:$B$9,0)),"")</f>
        <v>processed</v>
      </c>
      <c r="E89" s="100" t="s">
        <v>110</v>
      </c>
      <c r="F89" s="101" t="str">
        <f aca="false">IFERROR(INDEX(値リスト!$A$14:$A$24,MATCH(E89,値リスト!$B$14:$B$24,0)),"")</f>
        <v>mystic</v>
      </c>
      <c r="G89" s="100" t="s">
        <v>153</v>
      </c>
      <c r="H89" s="101" t="str">
        <f aca="false">IFERROR(INDEX(値リスト!$A$27:$A$33,MATCH(G89,値リスト!$B$27:$B$33,0)),"")</f>
        <v>catalyst</v>
      </c>
      <c r="I89" s="12" t="s">
        <v>672</v>
      </c>
      <c r="J89" s="102" t="s">
        <v>673</v>
      </c>
      <c r="K89" s="12" t="s">
        <v>580</v>
      </c>
      <c r="L89" s="1" t="n">
        <v>180</v>
      </c>
      <c r="M89" s="97" t="s">
        <v>342</v>
      </c>
      <c r="N89" s="1" t="n">
        <v>10</v>
      </c>
      <c r="O89" s="97" t="s">
        <v>608</v>
      </c>
      <c r="P89" s="1"/>
      <c r="Q89" s="1"/>
      <c r="R89" s="1"/>
      <c r="S89" s="1"/>
      <c r="T89" s="1"/>
      <c r="U89" s="1"/>
      <c r="V89" s="1"/>
      <c r="W89" s="1"/>
      <c r="X89" s="1"/>
      <c r="Y89" s="1"/>
      <c r="Z89" s="1"/>
      <c r="AA89" s="1"/>
      <c r="AB89" s="1"/>
      <c r="AC89" s="1"/>
      <c r="AD89" s="1"/>
      <c r="AE89" s="1"/>
    </row>
    <row r="90" customFormat="false" ht="36" hidden="false" customHeight="true" outlineLevel="0" collapsed="false">
      <c r="A90" s="13" t="s">
        <v>674</v>
      </c>
      <c r="B90" s="14" t="s">
        <v>675</v>
      </c>
      <c r="C90" s="98" t="s">
        <v>57</v>
      </c>
      <c r="D90" s="99" t="str">
        <f aca="false">IFERROR(INDEX(値リスト!$A$3:$A$9,MATCH(C90,値リスト!$B$3:$B$9,0)),"")</f>
        <v>processed</v>
      </c>
      <c r="E90" s="100" t="s">
        <v>125</v>
      </c>
      <c r="F90" s="101" t="str">
        <f aca="false">IFERROR(INDEX(値リスト!$A$14:$A$24,MATCH(E90,値リスト!$B$14:$B$24,0)),"")</f>
        <v>none</v>
      </c>
      <c r="G90" s="100" t="s">
        <v>147</v>
      </c>
      <c r="H90" s="101" t="str">
        <f aca="false">IFERROR(INDEX(値リスト!$A$27:$A$33,MATCH(G90,値リスト!$B$27:$B$33,0)),"")</f>
        <v>volatile</v>
      </c>
      <c r="I90" s="12" t="s">
        <v>676</v>
      </c>
      <c r="J90" s="102" t="s">
        <v>677</v>
      </c>
      <c r="K90" s="12" t="s">
        <v>580</v>
      </c>
      <c r="L90" s="1" t="n">
        <v>80</v>
      </c>
      <c r="M90" s="97" t="s">
        <v>342</v>
      </c>
      <c r="N90" s="1" t="n">
        <v>50</v>
      </c>
      <c r="O90" s="97" t="s">
        <v>581</v>
      </c>
      <c r="P90" s="1"/>
      <c r="Q90" s="1"/>
      <c r="R90" s="1"/>
      <c r="S90" s="1"/>
      <c r="T90" s="1"/>
      <c r="U90" s="1"/>
      <c r="V90" s="1"/>
      <c r="W90" s="1"/>
      <c r="X90" s="1"/>
      <c r="Y90" s="1"/>
      <c r="Z90" s="1"/>
      <c r="AA90" s="1"/>
      <c r="AB90" s="1"/>
      <c r="AC90" s="1"/>
      <c r="AD90" s="1"/>
      <c r="AE90" s="1"/>
    </row>
    <row r="91" customFormat="false" ht="36" hidden="false" customHeight="true" outlineLevel="0" collapsed="false">
      <c r="A91" s="13" t="s">
        <v>678</v>
      </c>
      <c r="B91" s="14" t="s">
        <v>679</v>
      </c>
      <c r="C91" s="98" t="s">
        <v>57</v>
      </c>
      <c r="D91" s="99" t="str">
        <f aca="false">IFERROR(INDEX(値リスト!$A$3:$A$9,MATCH(C91,値リスト!$B$3:$B$9,0)),"")</f>
        <v>processed</v>
      </c>
      <c r="E91" s="100" t="s">
        <v>125</v>
      </c>
      <c r="F91" s="101" t="str">
        <f aca="false">IFERROR(INDEX(値リスト!$A$14:$A$24,MATCH(E91,値リスト!$B$14:$B$24,0)),"")</f>
        <v>none</v>
      </c>
      <c r="G91" s="100" t="s">
        <v>133</v>
      </c>
      <c r="H91" s="101" t="str">
        <f aca="false">IFERROR(INDEX(値リスト!$A$27:$A$33,MATCH(G91,値リスト!$B$27:$B$33,0)),"")</f>
        <v>coagulate</v>
      </c>
      <c r="I91" s="12" t="s">
        <v>680</v>
      </c>
      <c r="J91" s="102" t="s">
        <v>681</v>
      </c>
      <c r="K91" s="12" t="s">
        <v>580</v>
      </c>
      <c r="L91" s="1" t="n">
        <v>95</v>
      </c>
      <c r="M91" s="97" t="s">
        <v>342</v>
      </c>
      <c r="N91" s="1" t="n">
        <v>20</v>
      </c>
      <c r="O91" s="97" t="s">
        <v>581</v>
      </c>
      <c r="P91" s="1"/>
      <c r="Q91" s="1"/>
      <c r="R91" s="1"/>
      <c r="S91" s="1"/>
      <c r="T91" s="1"/>
      <c r="U91" s="1"/>
      <c r="V91" s="1"/>
      <c r="W91" s="1"/>
      <c r="X91" s="1"/>
      <c r="Y91" s="1"/>
      <c r="Z91" s="1"/>
      <c r="AA91" s="1"/>
      <c r="AB91" s="1"/>
      <c r="AC91" s="1"/>
      <c r="AD91" s="1"/>
      <c r="AE91" s="1"/>
    </row>
    <row r="92" customFormat="false" ht="36" hidden="false" customHeight="true" outlineLevel="0" collapsed="false">
      <c r="A92" s="13" t="s">
        <v>682</v>
      </c>
      <c r="B92" s="14" t="s">
        <v>683</v>
      </c>
      <c r="C92" s="98" t="s">
        <v>57</v>
      </c>
      <c r="D92" s="99" t="str">
        <f aca="false">IFERROR(INDEX(値リスト!$A$3:$A$9,MATCH(C92,値リスト!$B$3:$B$9,0)),"")</f>
        <v>processed</v>
      </c>
      <c r="E92" s="100" t="s">
        <v>125</v>
      </c>
      <c r="F92" s="101" t="str">
        <f aca="false">IFERROR(INDEX(値リスト!$A$14:$A$24,MATCH(E92,値リスト!$B$14:$B$24,0)),"")</f>
        <v>none</v>
      </c>
      <c r="G92" s="100" t="s">
        <v>156</v>
      </c>
      <c r="H92" s="101" t="str">
        <f aca="false">IFERROR(INDEX(値リスト!$A$27:$A$33,MATCH(G92,値リスト!$B$27:$B$33,0)),"")</f>
        <v>neutralize</v>
      </c>
      <c r="I92" s="12" t="s">
        <v>684</v>
      </c>
      <c r="J92" s="102" t="s">
        <v>685</v>
      </c>
      <c r="K92" s="12" t="s">
        <v>580</v>
      </c>
      <c r="L92" s="1" t="n">
        <v>35</v>
      </c>
      <c r="M92" s="97" t="s">
        <v>342</v>
      </c>
      <c r="N92" s="1" t="n">
        <v>50</v>
      </c>
      <c r="O92" s="97" t="s">
        <v>617</v>
      </c>
      <c r="P92" s="1"/>
      <c r="Q92" s="1"/>
      <c r="R92" s="1"/>
      <c r="S92" s="1"/>
      <c r="T92" s="1"/>
      <c r="U92" s="1"/>
      <c r="V92" s="1"/>
      <c r="W92" s="1"/>
      <c r="X92" s="1"/>
      <c r="Y92" s="1"/>
      <c r="Z92" s="1"/>
      <c r="AA92" s="1"/>
      <c r="AB92" s="1"/>
      <c r="AC92" s="1"/>
      <c r="AD92" s="1"/>
      <c r="AE92" s="1"/>
    </row>
    <row r="93" customFormat="false" ht="36" hidden="false" customHeight="true" outlineLevel="0" collapsed="false">
      <c r="A93" s="13" t="s">
        <v>686</v>
      </c>
      <c r="B93" s="14" t="s">
        <v>687</v>
      </c>
      <c r="C93" s="98" t="s">
        <v>57</v>
      </c>
      <c r="D93" s="99" t="str">
        <f aca="false">IFERROR(INDEX(値リスト!$A$3:$A$9,MATCH(C93,値リスト!$B$3:$B$9,0)),"")</f>
        <v>processed</v>
      </c>
      <c r="E93" s="100" t="s">
        <v>92</v>
      </c>
      <c r="F93" s="101" t="str">
        <f aca="false">IFERROR(INDEX(値リスト!$A$14:$A$24,MATCH(E93,値リスト!$B$14:$B$24,0)),"")</f>
        <v>sedation</v>
      </c>
      <c r="G93" s="100" t="s">
        <v>150</v>
      </c>
      <c r="H93" s="101" t="str">
        <f aca="false">IFERROR(INDEX(値リスト!$A$27:$A$33,MATCH(G93,値リスト!$B$27:$B$33,0)),"")</f>
        <v>permeate</v>
      </c>
      <c r="I93" s="12" t="s">
        <v>688</v>
      </c>
      <c r="J93" s="102" t="s">
        <v>689</v>
      </c>
      <c r="K93" s="12" t="s">
        <v>580</v>
      </c>
      <c r="L93" s="1" t="n">
        <v>60</v>
      </c>
      <c r="M93" s="97" t="s">
        <v>342</v>
      </c>
      <c r="N93" s="1" t="n">
        <v>50</v>
      </c>
      <c r="O93" s="97" t="s">
        <v>581</v>
      </c>
      <c r="P93" s="1"/>
      <c r="Q93" s="1"/>
      <c r="R93" s="1"/>
      <c r="S93" s="1"/>
      <c r="T93" s="1"/>
      <c r="U93" s="1"/>
      <c r="V93" s="1"/>
      <c r="W93" s="1"/>
      <c r="X93" s="1"/>
      <c r="Y93" s="1"/>
      <c r="Z93" s="1"/>
      <c r="AA93" s="1"/>
      <c r="AB93" s="1"/>
      <c r="AC93" s="1"/>
      <c r="AD93" s="1"/>
      <c r="AE93" s="1"/>
    </row>
    <row r="94" customFormat="false" ht="36" hidden="false" customHeight="true" outlineLevel="0" collapsed="false">
      <c r="A94" s="13" t="s">
        <v>690</v>
      </c>
      <c r="B94" s="14" t="s">
        <v>691</v>
      </c>
      <c r="C94" s="98" t="s">
        <v>57</v>
      </c>
      <c r="D94" s="99" t="str">
        <f aca="false">IFERROR(INDEX(値リスト!$A$3:$A$9,MATCH(C94,値リスト!$B$3:$B$9,0)),"")</f>
        <v>processed</v>
      </c>
      <c r="E94" s="100" t="s">
        <v>86</v>
      </c>
      <c r="F94" s="101" t="str">
        <f aca="false">IFERROR(INDEX(値リスト!$A$14:$A$24,MATCH(E94,値リスト!$B$14:$B$24,0)),"")</f>
        <v>stimulation</v>
      </c>
      <c r="G94" s="100" t="s">
        <v>150</v>
      </c>
      <c r="H94" s="101" t="str">
        <f aca="false">IFERROR(INDEX(値リスト!$A$27:$A$33,MATCH(G94,値リスト!$B$27:$B$33,0)),"")</f>
        <v>permeate</v>
      </c>
      <c r="I94" s="12" t="s">
        <v>692</v>
      </c>
      <c r="J94" s="102" t="s">
        <v>693</v>
      </c>
      <c r="K94" s="12" t="s">
        <v>580</v>
      </c>
      <c r="L94" s="1" t="n">
        <v>60</v>
      </c>
      <c r="M94" s="97" t="s">
        <v>342</v>
      </c>
      <c r="N94" s="1" t="n">
        <v>50</v>
      </c>
      <c r="O94" s="97" t="s">
        <v>581</v>
      </c>
      <c r="P94" s="1"/>
      <c r="Q94" s="1"/>
      <c r="R94" s="1"/>
      <c r="S94" s="1"/>
      <c r="T94" s="1"/>
      <c r="U94" s="1"/>
      <c r="V94" s="1"/>
      <c r="W94" s="1"/>
      <c r="X94" s="1"/>
      <c r="Y94" s="1"/>
      <c r="Z94" s="1"/>
      <c r="AA94" s="1"/>
      <c r="AB94" s="1"/>
      <c r="AC94" s="1"/>
      <c r="AD94" s="1"/>
      <c r="AE94" s="1"/>
    </row>
    <row r="95" customFormat="false" ht="36" hidden="false" customHeight="true" outlineLevel="0" collapsed="false">
      <c r="A95" s="13" t="s">
        <v>694</v>
      </c>
      <c r="B95" s="14" t="s">
        <v>695</v>
      </c>
      <c r="C95" s="98" t="s">
        <v>49</v>
      </c>
      <c r="D95" s="99" t="str">
        <f aca="false">IFERROR(INDEX(値リスト!$A$3:$A$9,MATCH(C95,値リスト!$B$3:$B$9,0)),"")</f>
        <v>relics</v>
      </c>
      <c r="E95" s="100" t="s">
        <v>125</v>
      </c>
      <c r="F95" s="101" t="str">
        <f aca="false">IFERROR(INDEX(値リスト!$A$14:$A$24,MATCH(E95,値リスト!$B$14:$B$24,0)),"")</f>
        <v>none</v>
      </c>
      <c r="G95" s="100" t="s">
        <v>63</v>
      </c>
      <c r="H95" s="101" t="str">
        <f aca="false">IFERROR(INDEX(値リスト!$A$27:$A$33,MATCH(G95,値リスト!$B$27:$B$33,0)),"")</f>
        <v>preserve</v>
      </c>
      <c r="I95" s="12" t="s">
        <v>696</v>
      </c>
      <c r="J95" s="102" t="s">
        <v>697</v>
      </c>
      <c r="K95" s="12" t="s">
        <v>698</v>
      </c>
      <c r="L95" s="1" t="n">
        <v>30</v>
      </c>
      <c r="M95" s="97" t="s">
        <v>342</v>
      </c>
      <c r="N95" s="1" t="n">
        <v>0</v>
      </c>
      <c r="O95" s="97" t="s">
        <v>342</v>
      </c>
      <c r="P95" s="1"/>
      <c r="Q95" s="1"/>
      <c r="R95" s="1"/>
      <c r="S95" s="1"/>
      <c r="T95" s="1"/>
      <c r="U95" s="1"/>
      <c r="V95" s="1"/>
      <c r="W95" s="1"/>
      <c r="X95" s="1"/>
      <c r="Y95" s="1"/>
      <c r="Z95" s="1"/>
      <c r="AA95" s="1"/>
      <c r="AB95" s="1"/>
      <c r="AC95" s="1"/>
      <c r="AD95" s="1"/>
      <c r="AE95" s="1"/>
    </row>
    <row r="96" customFormat="false" ht="36" hidden="false" customHeight="true" outlineLevel="0" collapsed="false">
      <c r="A96" s="13" t="s">
        <v>699</v>
      </c>
      <c r="B96" s="14" t="s">
        <v>700</v>
      </c>
      <c r="C96" s="98" t="s">
        <v>49</v>
      </c>
      <c r="D96" s="99" t="str">
        <f aca="false">IFERROR(INDEX(値リスト!$A$3:$A$9,MATCH(C96,値リスト!$B$3:$B$9,0)),"")</f>
        <v>relics</v>
      </c>
      <c r="E96" s="100" t="s">
        <v>98</v>
      </c>
      <c r="F96" s="101" t="str">
        <f aca="false">IFERROR(INDEX(値リスト!$A$14:$A$24,MATCH(E96,値リスト!$B$14:$B$24,0)),"")</f>
        <v>stable</v>
      </c>
      <c r="G96" s="100" t="s">
        <v>153</v>
      </c>
      <c r="H96" s="101" t="str">
        <f aca="false">IFERROR(INDEX(値リスト!$A$27:$A$33,MATCH(G96,値リスト!$B$27:$B$33,0)),"")</f>
        <v>catalyst</v>
      </c>
      <c r="I96" s="12" t="s">
        <v>701</v>
      </c>
      <c r="J96" s="102" t="s">
        <v>702</v>
      </c>
      <c r="K96" s="12" t="s">
        <v>341</v>
      </c>
      <c r="L96" s="1" t="n">
        <v>15</v>
      </c>
      <c r="M96" s="97" t="s">
        <v>342</v>
      </c>
      <c r="N96" s="1" t="n">
        <v>150</v>
      </c>
      <c r="O96" s="97" t="s">
        <v>342</v>
      </c>
      <c r="P96" s="1"/>
      <c r="Q96" s="1"/>
      <c r="R96" s="1"/>
      <c r="S96" s="1"/>
      <c r="T96" s="1"/>
      <c r="U96" s="1"/>
      <c r="V96" s="1"/>
      <c r="W96" s="1"/>
      <c r="X96" s="1"/>
      <c r="Y96" s="1"/>
      <c r="Z96" s="1"/>
      <c r="AA96" s="1"/>
      <c r="AB96" s="1"/>
      <c r="AC96" s="1"/>
      <c r="AD96" s="1"/>
      <c r="AE96" s="1"/>
    </row>
    <row r="97" customFormat="false" ht="36" hidden="false" customHeight="true" outlineLevel="0" collapsed="false">
      <c r="A97" s="13" t="s">
        <v>703</v>
      </c>
      <c r="B97" s="14" t="s">
        <v>704</v>
      </c>
      <c r="C97" s="98" t="s">
        <v>49</v>
      </c>
      <c r="D97" s="99" t="str">
        <f aca="false">IFERROR(INDEX(値リスト!$A$3:$A$9,MATCH(C97,値リスト!$B$3:$B$9,0)),"")</f>
        <v>relics</v>
      </c>
      <c r="E97" s="100" t="s">
        <v>116</v>
      </c>
      <c r="F97" s="101" t="str">
        <f aca="false">IFERROR(INDEX(値リスト!$A$14:$A$24,MATCH(E97,値リスト!$B$14:$B$24,0)),"")</f>
        <v>insulation</v>
      </c>
      <c r="G97" s="100" t="s">
        <v>63</v>
      </c>
      <c r="H97" s="101" t="str">
        <f aca="false">IFERROR(INDEX(値リスト!$A$27:$A$33,MATCH(G97,値リスト!$B$27:$B$33,0)),"")</f>
        <v>preserve</v>
      </c>
      <c r="I97" s="12" t="s">
        <v>705</v>
      </c>
      <c r="J97" s="102" t="s">
        <v>706</v>
      </c>
      <c r="K97" s="12" t="s">
        <v>341</v>
      </c>
      <c r="L97" s="1" t="n">
        <v>25</v>
      </c>
      <c r="M97" s="97" t="s">
        <v>342</v>
      </c>
      <c r="N97" s="1" t="n">
        <v>100</v>
      </c>
      <c r="O97" s="97" t="s">
        <v>342</v>
      </c>
      <c r="P97" s="1"/>
      <c r="Q97" s="1"/>
      <c r="R97" s="1"/>
      <c r="S97" s="1"/>
      <c r="T97" s="1"/>
      <c r="U97" s="1"/>
      <c r="V97" s="1"/>
      <c r="W97" s="1"/>
      <c r="X97" s="1"/>
      <c r="Y97" s="1"/>
      <c r="Z97" s="1"/>
      <c r="AA97" s="1"/>
      <c r="AB97" s="1"/>
      <c r="AC97" s="1"/>
      <c r="AD97" s="1"/>
      <c r="AE97" s="1"/>
    </row>
    <row r="98" customFormat="false" ht="36" hidden="false" customHeight="true" outlineLevel="0" collapsed="false">
      <c r="A98" s="13" t="s">
        <v>707</v>
      </c>
      <c r="B98" s="14" t="s">
        <v>708</v>
      </c>
      <c r="C98" s="98" t="s">
        <v>49</v>
      </c>
      <c r="D98" s="99" t="str">
        <f aca="false">IFERROR(INDEX(値リスト!$A$3:$A$9,MATCH(C98,値リスト!$B$3:$B$9,0)),"")</f>
        <v>relics</v>
      </c>
      <c r="E98" s="100" t="s">
        <v>125</v>
      </c>
      <c r="F98" s="101" t="str">
        <f aca="false">IFERROR(INDEX(値リスト!$A$14:$A$24,MATCH(E98,値リスト!$B$14:$B$24,0)),"")</f>
        <v>none</v>
      </c>
      <c r="G98" s="100" t="s">
        <v>133</v>
      </c>
      <c r="H98" s="101" t="str">
        <f aca="false">IFERROR(INDEX(値リスト!$A$27:$A$33,MATCH(G98,値リスト!$B$27:$B$33,0)),"")</f>
        <v>coagulate</v>
      </c>
      <c r="I98" s="12" t="s">
        <v>709</v>
      </c>
      <c r="J98" s="102" t="s">
        <v>710</v>
      </c>
      <c r="K98" s="12" t="s">
        <v>341</v>
      </c>
      <c r="L98" s="1" t="n">
        <v>10</v>
      </c>
      <c r="M98" s="97" t="s">
        <v>342</v>
      </c>
      <c r="N98" s="1" t="n">
        <v>200</v>
      </c>
      <c r="O98" s="97" t="s">
        <v>342</v>
      </c>
      <c r="P98" s="1"/>
      <c r="Q98" s="1"/>
      <c r="R98" s="1"/>
      <c r="S98" s="1"/>
      <c r="T98" s="1"/>
      <c r="U98" s="1"/>
      <c r="V98" s="1"/>
      <c r="W98" s="1"/>
      <c r="X98" s="1"/>
      <c r="Y98" s="1"/>
      <c r="Z98" s="1"/>
      <c r="AA98" s="1"/>
      <c r="AB98" s="1"/>
      <c r="AC98" s="1"/>
      <c r="AD98" s="1"/>
      <c r="AE98" s="1"/>
    </row>
    <row r="99" customFormat="false" ht="36" hidden="false" customHeight="true" outlineLevel="0" collapsed="false">
      <c r="A99" s="13" t="s">
        <v>711</v>
      </c>
      <c r="B99" s="14" t="s">
        <v>712</v>
      </c>
      <c r="C99" s="98" t="s">
        <v>49</v>
      </c>
      <c r="D99" s="99" t="str">
        <f aca="false">IFERROR(INDEX(値リスト!$A$3:$A$9,MATCH(C99,値リスト!$B$3:$B$9,0)),"")</f>
        <v>relics</v>
      </c>
      <c r="E99" s="100" t="s">
        <v>120</v>
      </c>
      <c r="F99" s="101" t="str">
        <f aca="false">IFERROR(INDEX(値リスト!$A$14:$A$24,MATCH(E99,値リスト!$B$14:$B$24,0)),"")</f>
        <v>poison</v>
      </c>
      <c r="G99" s="100" t="s">
        <v>63</v>
      </c>
      <c r="H99" s="101" t="str">
        <f aca="false">IFERROR(INDEX(値リスト!$A$27:$A$33,MATCH(G99,値リスト!$B$27:$B$33,0)),"")</f>
        <v>preserve</v>
      </c>
      <c r="I99" s="12" t="s">
        <v>713</v>
      </c>
      <c r="J99" s="102" t="s">
        <v>714</v>
      </c>
      <c r="K99" s="12" t="s">
        <v>341</v>
      </c>
      <c r="L99" s="1" t="n">
        <v>35</v>
      </c>
      <c r="M99" s="97" t="s">
        <v>342</v>
      </c>
      <c r="N99" s="1" t="n">
        <v>100</v>
      </c>
      <c r="O99" s="97" t="s">
        <v>342</v>
      </c>
      <c r="P99" s="1"/>
      <c r="Q99" s="1"/>
      <c r="R99" s="1"/>
      <c r="S99" s="1"/>
      <c r="T99" s="1"/>
      <c r="U99" s="1"/>
      <c r="V99" s="1"/>
      <c r="W99" s="1"/>
      <c r="X99" s="1"/>
      <c r="Y99" s="1"/>
      <c r="Z99" s="1"/>
      <c r="AA99" s="1"/>
      <c r="AB99" s="1"/>
      <c r="AC99" s="1"/>
      <c r="AD99" s="1"/>
      <c r="AE99" s="1"/>
    </row>
    <row r="100" customFormat="false" ht="36" hidden="false" customHeight="true" outlineLevel="0" collapsed="false">
      <c r="A100" s="13" t="s">
        <v>715</v>
      </c>
      <c r="B100" s="14" t="s">
        <v>716</v>
      </c>
      <c r="C100" s="98" t="s">
        <v>49</v>
      </c>
      <c r="D100" s="99" t="str">
        <f aca="false">IFERROR(INDEX(値リスト!$A$3:$A$9,MATCH(C100,値リスト!$B$3:$B$9,0)),"")</f>
        <v>relics</v>
      </c>
      <c r="E100" s="100" t="s">
        <v>110</v>
      </c>
      <c r="F100" s="101" t="str">
        <f aca="false">IFERROR(INDEX(値リスト!$A$14:$A$24,MATCH(E100,値リスト!$B$14:$B$24,0)),"")</f>
        <v>mystic</v>
      </c>
      <c r="G100" s="100" t="s">
        <v>142</v>
      </c>
      <c r="H100" s="101" t="str">
        <f aca="false">IFERROR(INDEX(値リスト!$A$27:$A$33,MATCH(G100,値リスト!$B$27:$B$33,0)),"")</f>
        <v>separate</v>
      </c>
      <c r="I100" s="12" t="s">
        <v>717</v>
      </c>
      <c r="J100" s="102" t="s">
        <v>718</v>
      </c>
      <c r="K100" s="12" t="s">
        <v>341</v>
      </c>
      <c r="L100" s="1" t="n">
        <v>120</v>
      </c>
      <c r="M100" s="97" t="s">
        <v>342</v>
      </c>
      <c r="O100" s="97" t="s">
        <v>342</v>
      </c>
      <c r="P100" s="1"/>
      <c r="Q100" s="1"/>
      <c r="R100" s="1"/>
      <c r="S100" s="1"/>
      <c r="T100" s="1"/>
      <c r="U100" s="1"/>
      <c r="V100" s="1"/>
      <c r="W100" s="1"/>
      <c r="X100" s="1"/>
      <c r="Y100" s="1"/>
      <c r="Z100" s="1"/>
      <c r="AA100" s="1"/>
      <c r="AB100" s="1"/>
      <c r="AC100" s="1"/>
      <c r="AD100" s="1"/>
      <c r="AE100" s="1"/>
    </row>
    <row r="101" customFormat="false" ht="36" hidden="false" customHeight="true" outlineLevel="0" collapsed="false">
      <c r="A101" s="13" t="s">
        <v>719</v>
      </c>
      <c r="B101" s="14" t="s">
        <v>720</v>
      </c>
      <c r="C101" s="98" t="s">
        <v>49</v>
      </c>
      <c r="D101" s="99" t="str">
        <f aca="false">IFERROR(INDEX(値リスト!$A$3:$A$9,MATCH(C101,値リスト!$B$3:$B$9,0)),"")</f>
        <v>relics</v>
      </c>
      <c r="E101" s="100" t="s">
        <v>125</v>
      </c>
      <c r="F101" s="101" t="str">
        <f aca="false">IFERROR(INDEX(値リスト!$A$14:$A$24,MATCH(E101,値リスト!$B$14:$B$24,0)),"")</f>
        <v>none</v>
      </c>
      <c r="G101" s="100" t="s">
        <v>153</v>
      </c>
      <c r="H101" s="101" t="str">
        <f aca="false">IFERROR(INDEX(値リスト!$A$27:$A$33,MATCH(G101,値リスト!$B$27:$B$33,0)),"")</f>
        <v>catalyst</v>
      </c>
      <c r="I101" s="12" t="s">
        <v>721</v>
      </c>
      <c r="J101" s="102" t="s">
        <v>722</v>
      </c>
      <c r="K101" s="12" t="s">
        <v>341</v>
      </c>
      <c r="L101" s="1" t="n">
        <v>20</v>
      </c>
      <c r="M101" s="97" t="s">
        <v>342</v>
      </c>
      <c r="N101" s="1" t="n">
        <v>150</v>
      </c>
      <c r="O101" s="97" t="s">
        <v>342</v>
      </c>
      <c r="P101" s="1"/>
      <c r="Q101" s="1"/>
      <c r="R101" s="1"/>
      <c r="S101" s="1"/>
      <c r="T101" s="1"/>
      <c r="U101" s="1"/>
      <c r="V101" s="1"/>
      <c r="W101" s="1"/>
      <c r="X101" s="1"/>
      <c r="Y101" s="1"/>
      <c r="Z101" s="1"/>
      <c r="AA101" s="1"/>
      <c r="AB101" s="1"/>
      <c r="AC101" s="1"/>
      <c r="AD101" s="1"/>
      <c r="AE101" s="1"/>
    </row>
    <row r="102" customFormat="false" ht="36" hidden="false" customHeight="true" outlineLevel="0" collapsed="false">
      <c r="A102" s="13" t="s">
        <v>723</v>
      </c>
      <c r="B102" s="14" t="s">
        <v>724</v>
      </c>
      <c r="C102" s="98" t="s">
        <v>49</v>
      </c>
      <c r="D102" s="99" t="str">
        <f aca="false">IFERROR(INDEX(値リスト!$A$3:$A$9,MATCH(C102,値リスト!$B$3:$B$9,0)),"")</f>
        <v>relics</v>
      </c>
      <c r="E102" s="100" t="s">
        <v>92</v>
      </c>
      <c r="F102" s="101" t="str">
        <f aca="false">IFERROR(INDEX(値リスト!$A$14:$A$24,MATCH(E102,値リスト!$B$14:$B$24,0)),"")</f>
        <v>sedation</v>
      </c>
      <c r="G102" s="100" t="s">
        <v>147</v>
      </c>
      <c r="H102" s="101" t="str">
        <f aca="false">IFERROR(INDEX(値リスト!$A$27:$A$33,MATCH(G102,値リスト!$B$27:$B$33,0)),"")</f>
        <v>volatile</v>
      </c>
      <c r="I102" s="12" t="s">
        <v>725</v>
      </c>
      <c r="J102" s="102" t="s">
        <v>726</v>
      </c>
      <c r="K102" s="12" t="s">
        <v>341</v>
      </c>
      <c r="L102" s="1" t="n">
        <v>60</v>
      </c>
      <c r="M102" s="97" t="s">
        <v>342</v>
      </c>
      <c r="O102" s="97" t="s">
        <v>342</v>
      </c>
      <c r="P102" s="1"/>
      <c r="Q102" s="1"/>
      <c r="R102" s="1"/>
      <c r="S102" s="1"/>
      <c r="T102" s="1"/>
      <c r="U102" s="1"/>
      <c r="V102" s="1"/>
      <c r="W102" s="1"/>
      <c r="X102" s="1"/>
      <c r="Y102" s="1"/>
      <c r="Z102" s="1"/>
      <c r="AA102" s="1"/>
      <c r="AB102" s="1"/>
      <c r="AC102" s="1"/>
      <c r="AD102" s="1"/>
      <c r="AE102" s="1"/>
    </row>
    <row r="103" customFormat="false" ht="36" hidden="false" customHeight="true" outlineLevel="0" collapsed="false">
      <c r="A103" s="13" t="s">
        <v>727</v>
      </c>
      <c r="B103" s="14" t="s">
        <v>728</v>
      </c>
      <c r="C103" s="98" t="s">
        <v>57</v>
      </c>
      <c r="D103" s="99" t="str">
        <f aca="false">IFERROR(INDEX(値リスト!$A$3:$A$9,MATCH(C103,値リスト!$B$3:$B$9,0)),"")</f>
        <v>processed</v>
      </c>
      <c r="E103" s="100" t="s">
        <v>116</v>
      </c>
      <c r="F103" s="101" t="str">
        <f aca="false">IFERROR(INDEX(値リスト!$A$14:$A$24,MATCH(E103,値リスト!$B$14:$B$24,0)),"")</f>
        <v>insulation</v>
      </c>
      <c r="G103" s="100" t="s">
        <v>147</v>
      </c>
      <c r="H103" s="101" t="str">
        <f aca="false">IFERROR(INDEX(値リスト!$A$27:$A$33,MATCH(G103,値リスト!$B$27:$B$33,0)),"")</f>
        <v>volatile</v>
      </c>
      <c r="I103" s="12" t="s">
        <v>729</v>
      </c>
      <c r="J103" s="102" t="s">
        <v>730</v>
      </c>
      <c r="K103" s="12" t="s">
        <v>580</v>
      </c>
      <c r="L103" s="1" t="n">
        <v>110</v>
      </c>
      <c r="M103" s="97" t="s">
        <v>731</v>
      </c>
      <c r="O103" s="97" t="s">
        <v>732</v>
      </c>
      <c r="P103" s="1"/>
      <c r="Q103" s="1"/>
      <c r="R103" s="1"/>
      <c r="S103" s="1"/>
      <c r="T103" s="1"/>
      <c r="U103" s="1"/>
      <c r="V103" s="1"/>
      <c r="W103" s="1"/>
      <c r="X103" s="1"/>
      <c r="Y103" s="1"/>
      <c r="Z103" s="1"/>
      <c r="AA103" s="1"/>
      <c r="AB103" s="1"/>
      <c r="AC103" s="1"/>
      <c r="AD103" s="1"/>
      <c r="AE103" s="1"/>
    </row>
    <row r="104" customFormat="false" ht="36" hidden="false" customHeight="true" outlineLevel="0" collapsed="false">
      <c r="A104" s="13" t="s">
        <v>733</v>
      </c>
      <c r="B104" s="14" t="s">
        <v>734</v>
      </c>
      <c r="C104" s="98" t="s">
        <v>57</v>
      </c>
      <c r="D104" s="99" t="str">
        <f aca="false">IFERROR(INDEX(値リスト!$A$3:$A$9,MATCH(C104,値リスト!$B$3:$B$9,0)),"")</f>
        <v>processed</v>
      </c>
      <c r="E104" s="100" t="s">
        <v>92</v>
      </c>
      <c r="F104" s="101" t="str">
        <f aca="false">IFERROR(INDEX(値リスト!$A$14:$A$24,MATCH(E104,値リスト!$B$14:$B$24,0)),"")</f>
        <v>sedation</v>
      </c>
      <c r="G104" s="100" t="s">
        <v>147</v>
      </c>
      <c r="H104" s="101" t="str">
        <f aca="false">IFERROR(INDEX(値リスト!$A$27:$A$33,MATCH(G104,値リスト!$B$27:$B$33,0)),"")</f>
        <v>volatile</v>
      </c>
      <c r="I104" s="12" t="s">
        <v>735</v>
      </c>
      <c r="J104" s="102" t="s">
        <v>736</v>
      </c>
      <c r="K104" s="12" t="s">
        <v>580</v>
      </c>
      <c r="L104" s="1" t="n">
        <v>140</v>
      </c>
      <c r="M104" s="97" t="s">
        <v>731</v>
      </c>
      <c r="O104" s="97" t="s">
        <v>732</v>
      </c>
      <c r="P104" s="1"/>
      <c r="Q104" s="1"/>
      <c r="R104" s="1"/>
      <c r="S104" s="1"/>
      <c r="T104" s="1"/>
      <c r="U104" s="1"/>
      <c r="V104" s="1"/>
      <c r="W104" s="1"/>
      <c r="X104" s="1"/>
      <c r="Y104" s="1"/>
      <c r="Z104" s="1"/>
      <c r="AA104" s="1"/>
      <c r="AB104" s="1"/>
      <c r="AC104" s="1"/>
      <c r="AD104" s="1"/>
      <c r="AE104" s="1"/>
    </row>
    <row r="105" customFormat="false" ht="36" hidden="false" customHeight="true" outlineLevel="0" collapsed="false">
      <c r="A105" s="13" t="s">
        <v>737</v>
      </c>
      <c r="B105" s="14" t="s">
        <v>738</v>
      </c>
      <c r="C105" s="98" t="s">
        <v>57</v>
      </c>
      <c r="D105" s="99" t="str">
        <f aca="false">IFERROR(INDEX(値リスト!$A$3:$A$9,MATCH(C105,値リスト!$B$3:$B$9,0)),"")</f>
        <v>processed</v>
      </c>
      <c r="E105" s="100" t="s">
        <v>110</v>
      </c>
      <c r="F105" s="101" t="str">
        <f aca="false">IFERROR(INDEX(値リスト!$A$14:$A$24,MATCH(E105,値リスト!$B$14:$B$24,0)),"")</f>
        <v>mystic</v>
      </c>
      <c r="G105" s="100" t="s">
        <v>147</v>
      </c>
      <c r="H105" s="101" t="str">
        <f aca="false">IFERROR(INDEX(値リスト!$A$27:$A$33,MATCH(G105,値リスト!$B$27:$B$33,0)),"")</f>
        <v>volatile</v>
      </c>
      <c r="I105" s="12" t="s">
        <v>739</v>
      </c>
      <c r="J105" s="102" t="s">
        <v>740</v>
      </c>
      <c r="K105" s="12" t="s">
        <v>580</v>
      </c>
      <c r="L105" s="1" t="n">
        <v>190</v>
      </c>
      <c r="M105" s="97" t="s">
        <v>731</v>
      </c>
      <c r="O105" s="97" t="s">
        <v>732</v>
      </c>
      <c r="P105" s="1"/>
      <c r="Q105" s="1"/>
      <c r="R105" s="1"/>
      <c r="S105" s="1"/>
      <c r="T105" s="1"/>
      <c r="U105" s="1"/>
      <c r="V105" s="1"/>
      <c r="W105" s="1"/>
      <c r="X105" s="1"/>
      <c r="Y105" s="1"/>
      <c r="Z105" s="1"/>
      <c r="AA105" s="1"/>
      <c r="AB105" s="1"/>
      <c r="AC105" s="1"/>
      <c r="AD105" s="1"/>
      <c r="AE105" s="1"/>
    </row>
    <row r="106" customFormat="false" ht="36" hidden="false" customHeight="true" outlineLevel="0" collapsed="false">
      <c r="A106" s="13" t="s">
        <v>741</v>
      </c>
      <c r="B106" s="14" t="s">
        <v>742</v>
      </c>
      <c r="C106" s="98" t="s">
        <v>57</v>
      </c>
      <c r="D106" s="99" t="str">
        <f aca="false">IFERROR(INDEX(値リスト!$A$3:$A$9,MATCH(C106,値リスト!$B$3:$B$9,0)),"")</f>
        <v>processed</v>
      </c>
      <c r="E106" s="100" t="s">
        <v>120</v>
      </c>
      <c r="F106" s="101" t="str">
        <f aca="false">IFERROR(INDEX(値リスト!$A$14:$A$24,MATCH(E106,値リスト!$B$14:$B$24,0)),"")</f>
        <v>poison</v>
      </c>
      <c r="G106" s="100" t="s">
        <v>147</v>
      </c>
      <c r="H106" s="101" t="str">
        <f aca="false">IFERROR(INDEX(値リスト!$A$27:$A$33,MATCH(G106,値リスト!$B$27:$B$33,0)),"")</f>
        <v>volatile</v>
      </c>
      <c r="I106" s="12" t="s">
        <v>743</v>
      </c>
      <c r="J106" s="102" t="s">
        <v>744</v>
      </c>
      <c r="K106" s="12" t="s">
        <v>580</v>
      </c>
      <c r="L106" s="1" t="n">
        <v>210</v>
      </c>
      <c r="M106" s="97" t="s">
        <v>731</v>
      </c>
      <c r="O106" s="97" t="s">
        <v>732</v>
      </c>
      <c r="P106" s="1"/>
      <c r="Q106" s="1"/>
      <c r="R106" s="1"/>
      <c r="S106" s="1"/>
      <c r="T106" s="1"/>
      <c r="U106" s="1"/>
      <c r="V106" s="1"/>
      <c r="W106" s="1"/>
      <c r="X106" s="1"/>
      <c r="Y106" s="1"/>
      <c r="Z106" s="1"/>
      <c r="AA106" s="1"/>
      <c r="AB106" s="1"/>
      <c r="AC106" s="1"/>
      <c r="AD106" s="1"/>
      <c r="AE106" s="1"/>
    </row>
    <row r="107" customFormat="false" ht="36" hidden="false" customHeight="true" outlineLevel="0" collapsed="false">
      <c r="A107" s="13" t="s">
        <v>745</v>
      </c>
      <c r="B107" s="14" t="s">
        <v>746</v>
      </c>
      <c r="C107" s="98" t="s">
        <v>57</v>
      </c>
      <c r="D107" s="99" t="str">
        <f aca="false">IFERROR(INDEX(値リスト!$A$3:$A$9,MATCH(C107,値リスト!$B$3:$B$9,0)),"")</f>
        <v>processed</v>
      </c>
      <c r="E107" s="100" t="s">
        <v>77</v>
      </c>
      <c r="F107" s="101" t="str">
        <f aca="false">IFERROR(INDEX(値リスト!$A$14:$A$24,MATCH(E107,値リスト!$B$14:$B$24,0)),"")</f>
        <v>detox</v>
      </c>
      <c r="G107" s="100" t="s">
        <v>147</v>
      </c>
      <c r="H107" s="101" t="str">
        <f aca="false">IFERROR(INDEX(値リスト!$A$27:$A$33,MATCH(G107,値リスト!$B$27:$B$33,0)),"")</f>
        <v>volatile</v>
      </c>
      <c r="I107" s="12" t="s">
        <v>747</v>
      </c>
      <c r="J107" s="102" t="s">
        <v>748</v>
      </c>
      <c r="K107" s="12" t="s">
        <v>580</v>
      </c>
      <c r="L107" s="1" t="n">
        <v>130</v>
      </c>
      <c r="M107" s="97" t="s">
        <v>731</v>
      </c>
      <c r="O107" s="97" t="s">
        <v>732</v>
      </c>
      <c r="P107" s="1"/>
      <c r="Q107" s="1"/>
      <c r="R107" s="1"/>
      <c r="S107" s="1"/>
      <c r="T107" s="1"/>
      <c r="U107" s="1"/>
      <c r="V107" s="1"/>
      <c r="W107" s="1"/>
      <c r="X107" s="1"/>
      <c r="Y107" s="1"/>
      <c r="Z107" s="1"/>
      <c r="AA107" s="1"/>
      <c r="AB107" s="1"/>
      <c r="AC107" s="1"/>
      <c r="AD107" s="1"/>
      <c r="AE107" s="1"/>
    </row>
    <row r="108" customFormat="false" ht="36" hidden="false" customHeight="true" outlineLevel="0" collapsed="false">
      <c r="A108" s="13" t="s">
        <v>749</v>
      </c>
      <c r="B108" s="14" t="s">
        <v>750</v>
      </c>
      <c r="C108" s="98" t="s">
        <v>57</v>
      </c>
      <c r="D108" s="99" t="str">
        <f aca="false">IFERROR(INDEX(値リスト!$A$3:$A$9,MATCH(C108,値リスト!$B$3:$B$9,0)),"")</f>
        <v>processed</v>
      </c>
      <c r="E108" s="100" t="s">
        <v>86</v>
      </c>
      <c r="F108" s="101" t="str">
        <f aca="false">IFERROR(INDEX(値リスト!$A$14:$A$24,MATCH(E108,値リスト!$B$14:$B$24,0)),"")</f>
        <v>stimulation</v>
      </c>
      <c r="G108" s="100" t="s">
        <v>147</v>
      </c>
      <c r="H108" s="101" t="str">
        <f aca="false">IFERROR(INDEX(値リスト!$A$27:$A$33,MATCH(G108,値リスト!$B$27:$B$33,0)),"")</f>
        <v>volatile</v>
      </c>
      <c r="I108" s="12" t="s">
        <v>751</v>
      </c>
      <c r="J108" s="102" t="s">
        <v>752</v>
      </c>
      <c r="K108" s="12" t="s">
        <v>580</v>
      </c>
      <c r="L108" s="1" t="n">
        <v>30</v>
      </c>
      <c r="M108" s="97" t="s">
        <v>731</v>
      </c>
      <c r="O108" s="97" t="s">
        <v>581</v>
      </c>
      <c r="P108" s="1"/>
      <c r="Q108" s="1"/>
      <c r="R108" s="1"/>
      <c r="S108" s="1"/>
      <c r="T108" s="1"/>
      <c r="U108" s="1"/>
      <c r="V108" s="1"/>
      <c r="W108" s="1"/>
      <c r="X108" s="1"/>
      <c r="Y108" s="1"/>
      <c r="Z108" s="1"/>
      <c r="AA108" s="1"/>
      <c r="AB108" s="1"/>
      <c r="AC108" s="1"/>
      <c r="AD108" s="1"/>
      <c r="AE108" s="1"/>
    </row>
    <row r="109" customFormat="false" ht="36" hidden="false" customHeight="true" outlineLevel="0" collapsed="false">
      <c r="A109" s="13" t="s">
        <v>753</v>
      </c>
      <c r="B109" s="14" t="s">
        <v>754</v>
      </c>
      <c r="C109" s="98" t="s">
        <v>57</v>
      </c>
      <c r="D109" s="99" t="str">
        <f aca="false">IFERROR(INDEX(値リスト!$A$3:$A$9,MATCH(C109,値リスト!$B$3:$B$9,0)),"")</f>
        <v>processed</v>
      </c>
      <c r="E109" s="100" t="s">
        <v>77</v>
      </c>
      <c r="F109" s="101" t="str">
        <f aca="false">IFERROR(INDEX(値リスト!$A$14:$A$24,MATCH(E109,値リスト!$B$14:$B$24,0)),"")</f>
        <v>detox</v>
      </c>
      <c r="G109" s="100" t="s">
        <v>156</v>
      </c>
      <c r="H109" s="101" t="str">
        <f aca="false">IFERROR(INDEX(値リスト!$A$27:$A$33,MATCH(G109,値リスト!$B$27:$B$33,0)),"")</f>
        <v>neutralize</v>
      </c>
      <c r="I109" s="12" t="s">
        <v>755</v>
      </c>
      <c r="J109" s="102" t="s">
        <v>752</v>
      </c>
      <c r="K109" s="12" t="s">
        <v>580</v>
      </c>
      <c r="L109" s="1" t="n">
        <v>30</v>
      </c>
      <c r="M109" s="97" t="s">
        <v>731</v>
      </c>
      <c r="O109" s="97" t="s">
        <v>581</v>
      </c>
      <c r="P109" s="1"/>
      <c r="Q109" s="1"/>
      <c r="R109" s="1"/>
      <c r="S109" s="1"/>
      <c r="T109" s="1"/>
      <c r="U109" s="1"/>
      <c r="V109" s="1"/>
      <c r="W109" s="1"/>
      <c r="X109" s="1"/>
      <c r="Y109" s="1"/>
      <c r="Z109" s="1"/>
      <c r="AA109" s="1"/>
      <c r="AB109" s="1"/>
      <c r="AC109" s="1"/>
      <c r="AD109" s="1"/>
      <c r="AE109" s="1"/>
    </row>
    <row r="110" customFormat="false" ht="36" hidden="false" customHeight="true" outlineLevel="0" collapsed="false">
      <c r="A110" s="13" t="s">
        <v>756</v>
      </c>
      <c r="B110" s="14" t="s">
        <v>757</v>
      </c>
      <c r="C110" s="98" t="s">
        <v>57</v>
      </c>
      <c r="D110" s="99" t="str">
        <f aca="false">IFERROR(INDEX(値リスト!$A$3:$A$9,MATCH(C110,値リスト!$B$3:$B$9,0)),"")</f>
        <v>processed</v>
      </c>
      <c r="E110" s="100" t="s">
        <v>72</v>
      </c>
      <c r="F110" s="101" t="str">
        <f aca="false">IFERROR(INDEX(値リスト!$A$14:$A$24,MATCH(E110,値リスト!$B$14:$B$24,0)),"")</f>
        <v>healing</v>
      </c>
      <c r="G110" s="100" t="s">
        <v>150</v>
      </c>
      <c r="H110" s="101" t="str">
        <f aca="false">IFERROR(INDEX(値リスト!$A$27:$A$33,MATCH(G110,値リスト!$B$27:$B$33,0)),"")</f>
        <v>permeate</v>
      </c>
      <c r="I110" s="12" t="s">
        <v>758</v>
      </c>
      <c r="J110" s="102" t="s">
        <v>752</v>
      </c>
      <c r="K110" s="12" t="s">
        <v>580</v>
      </c>
      <c r="L110" s="1" t="n">
        <v>30</v>
      </c>
      <c r="M110" s="97" t="s">
        <v>731</v>
      </c>
      <c r="O110" s="97" t="s">
        <v>581</v>
      </c>
      <c r="P110" s="1"/>
      <c r="Q110" s="1"/>
      <c r="R110" s="1"/>
      <c r="S110" s="1"/>
      <c r="T110" s="1"/>
      <c r="U110" s="1"/>
      <c r="V110" s="1"/>
      <c r="W110" s="1"/>
      <c r="X110" s="1"/>
      <c r="Y110" s="1"/>
      <c r="Z110" s="1"/>
      <c r="AA110" s="1"/>
      <c r="AB110" s="1"/>
      <c r="AC110" s="1"/>
      <c r="AD110" s="1"/>
      <c r="AE110" s="1"/>
    </row>
    <row r="111" customFormat="false" ht="36" hidden="false" customHeight="true" outlineLevel="0" collapsed="false">
      <c r="A111" s="13" t="s">
        <v>759</v>
      </c>
      <c r="B111" s="14" t="s">
        <v>760</v>
      </c>
      <c r="C111" s="98" t="s">
        <v>57</v>
      </c>
      <c r="D111" s="99" t="str">
        <f aca="false">IFERROR(INDEX(値リスト!$A$3:$A$9,MATCH(C111,値リスト!$B$3:$B$9,0)),"")</f>
        <v>processed</v>
      </c>
      <c r="E111" s="100" t="s">
        <v>92</v>
      </c>
      <c r="F111" s="101" t="str">
        <f aca="false">IFERROR(INDEX(値リスト!$A$14:$A$24,MATCH(E111,値リスト!$B$14:$B$24,0)),"")</f>
        <v>sedation</v>
      </c>
      <c r="G111" s="100" t="s">
        <v>133</v>
      </c>
      <c r="H111" s="101" t="str">
        <f aca="false">IFERROR(INDEX(値リスト!$A$27:$A$33,MATCH(G111,値リスト!$B$27:$B$33,0)),"")</f>
        <v>coagulate</v>
      </c>
      <c r="I111" s="12" t="s">
        <v>761</v>
      </c>
      <c r="J111" s="102" t="s">
        <v>752</v>
      </c>
      <c r="K111" s="12" t="s">
        <v>580</v>
      </c>
      <c r="L111" s="1" t="n">
        <v>45</v>
      </c>
      <c r="M111" s="97" t="s">
        <v>731</v>
      </c>
      <c r="O111" s="97" t="s">
        <v>608</v>
      </c>
      <c r="P111" s="1"/>
      <c r="Q111" s="1"/>
      <c r="R111" s="1"/>
      <c r="S111" s="1"/>
      <c r="T111" s="1"/>
      <c r="U111" s="1"/>
      <c r="V111" s="1"/>
      <c r="W111" s="1"/>
      <c r="X111" s="1"/>
      <c r="Y111" s="1"/>
      <c r="Z111" s="1"/>
      <c r="AA111" s="1"/>
      <c r="AB111" s="1"/>
      <c r="AC111" s="1"/>
      <c r="AD111" s="1"/>
      <c r="AE111" s="1"/>
    </row>
    <row r="112" customFormat="false" ht="36" hidden="false" customHeight="true" outlineLevel="0" collapsed="false">
      <c r="A112" s="13" t="s">
        <v>762</v>
      </c>
      <c r="B112" s="14" t="s">
        <v>763</v>
      </c>
      <c r="C112" s="98" t="s">
        <v>57</v>
      </c>
      <c r="D112" s="99" t="str">
        <f aca="false">IFERROR(INDEX(値リスト!$A$3:$A$9,MATCH(C112,値リスト!$B$3:$B$9,0)),"")</f>
        <v>processed</v>
      </c>
      <c r="E112" s="100" t="s">
        <v>86</v>
      </c>
      <c r="F112" s="101" t="str">
        <f aca="false">IFERROR(INDEX(値リスト!$A$14:$A$24,MATCH(E112,値リスト!$B$14:$B$24,0)),"")</f>
        <v>stimulation</v>
      </c>
      <c r="G112" s="100" t="s">
        <v>147</v>
      </c>
      <c r="H112" s="101" t="str">
        <f aca="false">IFERROR(INDEX(値リスト!$A$27:$A$33,MATCH(G112,値リスト!$B$27:$B$33,0)),"")</f>
        <v>volatile</v>
      </c>
      <c r="I112" s="12" t="s">
        <v>764</v>
      </c>
      <c r="J112" s="102" t="s">
        <v>752</v>
      </c>
      <c r="K112" s="12" t="s">
        <v>580</v>
      </c>
      <c r="L112" s="1" t="n">
        <v>30</v>
      </c>
      <c r="M112" s="97" t="s">
        <v>731</v>
      </c>
      <c r="O112" s="97" t="s">
        <v>608</v>
      </c>
      <c r="P112" s="1"/>
      <c r="Q112" s="1"/>
      <c r="R112" s="1"/>
      <c r="S112" s="1"/>
      <c r="T112" s="1"/>
      <c r="U112" s="1"/>
      <c r="V112" s="1"/>
      <c r="W112" s="1"/>
      <c r="X112" s="1"/>
      <c r="Y112" s="1"/>
      <c r="Z112" s="1"/>
      <c r="AA112" s="1"/>
      <c r="AB112" s="1"/>
      <c r="AC112" s="1"/>
      <c r="AD112" s="1"/>
      <c r="AE112" s="1"/>
    </row>
    <row r="113" customFormat="false" ht="36" hidden="false" customHeight="true" outlineLevel="0" collapsed="false">
      <c r="A113" s="13" t="s">
        <v>765</v>
      </c>
      <c r="B113" s="14" t="s">
        <v>766</v>
      </c>
      <c r="C113" s="98" t="s">
        <v>57</v>
      </c>
      <c r="D113" s="99" t="str">
        <f aca="false">IFERROR(INDEX(値リスト!$A$3:$A$9,MATCH(C113,値リスト!$B$3:$B$9,0)),"")</f>
        <v>processed</v>
      </c>
      <c r="E113" s="100" t="s">
        <v>80</v>
      </c>
      <c r="F113" s="101" t="str">
        <f aca="false">IFERROR(INDEX(値リスト!$A$14:$A$24,MATCH(E113,値リスト!$B$14:$B$24,0)),"")</f>
        <v>tonic</v>
      </c>
      <c r="G113" s="100" t="s">
        <v>150</v>
      </c>
      <c r="H113" s="101" t="str">
        <f aca="false">IFERROR(INDEX(値リスト!$A$27:$A$33,MATCH(G113,値リスト!$B$27:$B$33,0)),"")</f>
        <v>permeate</v>
      </c>
      <c r="I113" s="12" t="s">
        <v>767</v>
      </c>
      <c r="J113" s="102" t="s">
        <v>752</v>
      </c>
      <c r="K113" s="12" t="s">
        <v>580</v>
      </c>
      <c r="L113" s="1" t="n">
        <v>45</v>
      </c>
      <c r="M113" s="97" t="s">
        <v>731</v>
      </c>
      <c r="O113" s="97" t="s">
        <v>581</v>
      </c>
      <c r="P113" s="1"/>
      <c r="Q113" s="1"/>
      <c r="R113" s="1"/>
      <c r="S113" s="1"/>
      <c r="T113" s="1"/>
      <c r="U113" s="1"/>
      <c r="V113" s="1"/>
      <c r="W113" s="1"/>
      <c r="X113" s="1"/>
      <c r="Y113" s="1"/>
      <c r="Z113" s="1"/>
      <c r="AA113" s="1"/>
      <c r="AB113" s="1"/>
      <c r="AC113" s="1"/>
      <c r="AD113" s="1"/>
      <c r="AE113" s="1"/>
    </row>
    <row r="114" customFormat="false" ht="36" hidden="false" customHeight="true" outlineLevel="0" collapsed="false">
      <c r="A114" s="13" t="s">
        <v>768</v>
      </c>
      <c r="B114" s="14" t="s">
        <v>769</v>
      </c>
      <c r="C114" s="98" t="s">
        <v>57</v>
      </c>
      <c r="D114" s="99" t="str">
        <f aca="false">IFERROR(INDEX(値リスト!$A$3:$A$9,MATCH(C114,値リスト!$B$3:$B$9,0)),"")</f>
        <v>processed</v>
      </c>
      <c r="E114" s="100" t="s">
        <v>116</v>
      </c>
      <c r="F114" s="101" t="str">
        <f aca="false">IFERROR(INDEX(値リスト!$A$14:$A$24,MATCH(E114,値リスト!$B$14:$B$24,0)),"")</f>
        <v>insulation</v>
      </c>
      <c r="G114" s="100" t="s">
        <v>147</v>
      </c>
      <c r="H114" s="101" t="str">
        <f aca="false">IFERROR(INDEX(値リスト!$A$27:$A$33,MATCH(G114,値リスト!$B$27:$B$33,0)),"")</f>
        <v>volatile</v>
      </c>
      <c r="I114" s="12" t="s">
        <v>770</v>
      </c>
      <c r="J114" s="102" t="s">
        <v>752</v>
      </c>
      <c r="K114" s="12" t="s">
        <v>580</v>
      </c>
      <c r="L114" s="1" t="n">
        <v>45</v>
      </c>
      <c r="M114" s="97" t="s">
        <v>771</v>
      </c>
      <c r="O114" s="97" t="s">
        <v>608</v>
      </c>
      <c r="P114" s="1"/>
      <c r="Q114" s="1"/>
      <c r="R114" s="1"/>
      <c r="S114" s="1"/>
      <c r="T114" s="1"/>
      <c r="U114" s="1"/>
      <c r="V114" s="1"/>
      <c r="W114" s="1"/>
      <c r="X114" s="1"/>
      <c r="Y114" s="1"/>
      <c r="Z114" s="1"/>
      <c r="AA114" s="1"/>
      <c r="AB114" s="1"/>
      <c r="AC114" s="1"/>
      <c r="AD114" s="1"/>
      <c r="AE114" s="1"/>
    </row>
    <row r="115" customFormat="false" ht="36" hidden="false" customHeight="true" outlineLevel="0" collapsed="false">
      <c r="A115" s="13" t="s">
        <v>772</v>
      </c>
      <c r="B115" s="14" t="s">
        <v>773</v>
      </c>
      <c r="C115" s="98" t="s">
        <v>57</v>
      </c>
      <c r="D115" s="99" t="str">
        <f aca="false">IFERROR(INDEX(値リスト!$A$3:$A$9,MATCH(C115,値リスト!$B$3:$B$9,0)),"")</f>
        <v>processed</v>
      </c>
      <c r="E115" s="100" t="s">
        <v>77</v>
      </c>
      <c r="F115" s="101" t="str">
        <f aca="false">IFERROR(INDEX(値リスト!$A$14:$A$24,MATCH(E115,値リスト!$B$14:$B$24,0)),"")</f>
        <v>detox</v>
      </c>
      <c r="G115" s="100" t="s">
        <v>156</v>
      </c>
      <c r="H115" s="101" t="str">
        <f aca="false">IFERROR(INDEX(値リスト!$A$27:$A$33,MATCH(G115,値リスト!$B$27:$B$33,0)),"")</f>
        <v>neutralize</v>
      </c>
      <c r="I115" s="12" t="s">
        <v>774</v>
      </c>
      <c r="J115" s="102" t="s">
        <v>752</v>
      </c>
      <c r="K115" s="12" t="s">
        <v>580</v>
      </c>
      <c r="L115" s="1" t="n">
        <v>430</v>
      </c>
      <c r="M115" s="97" t="s">
        <v>731</v>
      </c>
      <c r="O115" s="97" t="s">
        <v>581</v>
      </c>
      <c r="P115" s="1"/>
      <c r="Q115" s="1"/>
      <c r="R115" s="1"/>
      <c r="S115" s="1"/>
      <c r="T115" s="1"/>
      <c r="U115" s="1"/>
      <c r="V115" s="1"/>
      <c r="W115" s="1"/>
      <c r="X115" s="1"/>
      <c r="Y115" s="1"/>
      <c r="Z115" s="1"/>
      <c r="AA115" s="1"/>
      <c r="AB115" s="1"/>
      <c r="AC115" s="1"/>
      <c r="AD115" s="1"/>
      <c r="AE115" s="1"/>
    </row>
    <row r="116" customFormat="false" ht="36" hidden="false" customHeight="true" outlineLevel="0" collapsed="false">
      <c r="A116" s="13" t="s">
        <v>775</v>
      </c>
      <c r="B116" s="14" t="s">
        <v>776</v>
      </c>
      <c r="C116" s="98" t="s">
        <v>57</v>
      </c>
      <c r="D116" s="99" t="str">
        <f aca="false">IFERROR(INDEX(値リスト!$A$3:$A$9,MATCH(C116,値リスト!$B$3:$B$9,0)),"")</f>
        <v>processed</v>
      </c>
      <c r="E116" s="100" t="s">
        <v>72</v>
      </c>
      <c r="F116" s="101" t="str">
        <f aca="false">IFERROR(INDEX(値リスト!$A$14:$A$24,MATCH(E116,値リスト!$B$14:$B$24,0)),"")</f>
        <v>healing</v>
      </c>
      <c r="G116" s="100" t="s">
        <v>150</v>
      </c>
      <c r="H116" s="101" t="str">
        <f aca="false">IFERROR(INDEX(値リスト!$A$27:$A$33,MATCH(G116,値リスト!$B$27:$B$33,0)),"")</f>
        <v>permeate</v>
      </c>
      <c r="I116" s="12" t="s">
        <v>777</v>
      </c>
      <c r="J116" s="102" t="s">
        <v>752</v>
      </c>
      <c r="K116" s="12" t="s">
        <v>580</v>
      </c>
      <c r="L116" s="1" t="n">
        <v>120</v>
      </c>
      <c r="M116" s="97" t="s">
        <v>731</v>
      </c>
      <c r="O116" s="97" t="s">
        <v>581</v>
      </c>
      <c r="P116" s="1"/>
      <c r="Q116" s="1"/>
      <c r="R116" s="1"/>
      <c r="S116" s="1"/>
      <c r="T116" s="1"/>
      <c r="U116" s="1"/>
      <c r="V116" s="1"/>
      <c r="W116" s="1"/>
      <c r="X116" s="1"/>
      <c r="Y116" s="1"/>
      <c r="Z116" s="1"/>
      <c r="AA116" s="1"/>
      <c r="AB116" s="1"/>
      <c r="AC116" s="1"/>
      <c r="AD116" s="1"/>
      <c r="AE116" s="1"/>
    </row>
    <row r="117" customFormat="false" ht="36" hidden="false" customHeight="true" outlineLevel="0" collapsed="false">
      <c r="A117" s="13" t="s">
        <v>778</v>
      </c>
      <c r="B117" s="14" t="s">
        <v>779</v>
      </c>
      <c r="C117" s="98" t="s">
        <v>57</v>
      </c>
      <c r="D117" s="99" t="str">
        <f aca="false">IFERROR(INDEX(値リスト!$A$3:$A$9,MATCH(C117,値リスト!$B$3:$B$9,0)),"")</f>
        <v>processed</v>
      </c>
      <c r="E117" s="100" t="s">
        <v>110</v>
      </c>
      <c r="F117" s="101" t="str">
        <f aca="false">IFERROR(INDEX(値リスト!$A$14:$A$24,MATCH(E117,値リスト!$B$14:$B$24,0)),"")</f>
        <v>mystic</v>
      </c>
      <c r="G117" s="100" t="s">
        <v>147</v>
      </c>
      <c r="H117" s="101" t="str">
        <f aca="false">IFERROR(INDEX(値リスト!$A$27:$A$33,MATCH(G117,値リスト!$B$27:$B$33,0)),"")</f>
        <v>volatile</v>
      </c>
      <c r="I117" s="12" t="s">
        <v>780</v>
      </c>
      <c r="J117" s="102" t="s">
        <v>752</v>
      </c>
      <c r="K117" s="12" t="s">
        <v>580</v>
      </c>
      <c r="L117" s="1" t="n">
        <v>80</v>
      </c>
      <c r="M117" s="97" t="s">
        <v>731</v>
      </c>
      <c r="O117" s="97" t="s">
        <v>608</v>
      </c>
      <c r="P117" s="1"/>
      <c r="Q117" s="1"/>
      <c r="R117" s="1"/>
      <c r="S117" s="1"/>
      <c r="T117" s="1"/>
      <c r="U117" s="1"/>
      <c r="V117" s="1"/>
      <c r="W117" s="1"/>
      <c r="X117" s="1"/>
      <c r="Y117" s="1"/>
      <c r="Z117" s="1"/>
      <c r="AA117" s="1"/>
      <c r="AB117" s="1"/>
      <c r="AC117" s="1"/>
      <c r="AD117" s="1"/>
      <c r="AE117" s="1"/>
    </row>
    <row r="118" customFormat="false" ht="36" hidden="false" customHeight="true" outlineLevel="0" collapsed="false">
      <c r="A118" s="13" t="s">
        <v>781</v>
      </c>
      <c r="B118" s="14" t="s">
        <v>782</v>
      </c>
      <c r="C118" s="98" t="s">
        <v>57</v>
      </c>
      <c r="D118" s="99" t="str">
        <f aca="false">IFERROR(INDEX(値リスト!$A$3:$A$9,MATCH(C118,値リスト!$B$3:$B$9,0)),"")</f>
        <v>processed</v>
      </c>
      <c r="E118" s="100" t="s">
        <v>120</v>
      </c>
      <c r="F118" s="101" t="str">
        <f aca="false">IFERROR(INDEX(値リスト!$A$14:$A$24,MATCH(E118,値リスト!$B$14:$B$24,0)),"")</f>
        <v>poison</v>
      </c>
      <c r="G118" s="100" t="s">
        <v>133</v>
      </c>
      <c r="H118" s="101" t="str">
        <f aca="false">IFERROR(INDEX(値リスト!$A$27:$A$33,MATCH(G118,値リスト!$B$27:$B$33,0)),"")</f>
        <v>coagulate</v>
      </c>
      <c r="I118" s="12" t="s">
        <v>783</v>
      </c>
      <c r="J118" s="102" t="s">
        <v>752</v>
      </c>
      <c r="K118" s="12" t="s">
        <v>580</v>
      </c>
      <c r="L118" s="1" t="n">
        <v>30</v>
      </c>
      <c r="M118" s="97" t="s">
        <v>771</v>
      </c>
      <c r="O118" s="97" t="s">
        <v>608</v>
      </c>
      <c r="P118" s="1"/>
      <c r="Q118" s="1"/>
      <c r="R118" s="1"/>
      <c r="S118" s="1"/>
      <c r="T118" s="1"/>
      <c r="U118" s="1"/>
      <c r="V118" s="1"/>
      <c r="W118" s="1"/>
      <c r="X118" s="1"/>
      <c r="Y118" s="1"/>
      <c r="Z118" s="1"/>
      <c r="AA118" s="1"/>
      <c r="AB118" s="1"/>
      <c r="AC118" s="1"/>
      <c r="AD118" s="1"/>
      <c r="AE118" s="1"/>
    </row>
    <row r="119" customFormat="false" ht="36" hidden="false" customHeight="true" outlineLevel="0" collapsed="false">
      <c r="A119" s="13" t="s">
        <v>784</v>
      </c>
      <c r="B119" s="14" t="s">
        <v>785</v>
      </c>
      <c r="C119" s="98" t="s">
        <v>57</v>
      </c>
      <c r="D119" s="99" t="str">
        <f aca="false">IFERROR(INDEX(値リスト!$A$3:$A$9,MATCH(C119,値リスト!$B$3:$B$9,0)),"")</f>
        <v>processed</v>
      </c>
      <c r="E119" s="100" t="s">
        <v>98</v>
      </c>
      <c r="F119" s="101" t="str">
        <f aca="false">IFERROR(INDEX(値リスト!$A$14:$A$24,MATCH(E119,値リスト!$B$14:$B$24,0)),"")</f>
        <v>stable</v>
      </c>
      <c r="G119" s="100" t="s">
        <v>133</v>
      </c>
      <c r="H119" s="101" t="str">
        <f aca="false">IFERROR(INDEX(値リスト!$A$27:$A$33,MATCH(G119,値リスト!$B$27:$B$33,0)),"")</f>
        <v>coagulate</v>
      </c>
      <c r="I119" s="12" t="s">
        <v>786</v>
      </c>
      <c r="J119" s="102" t="s">
        <v>752</v>
      </c>
      <c r="K119" s="12" t="s">
        <v>580</v>
      </c>
      <c r="L119" s="1" t="n">
        <v>85</v>
      </c>
      <c r="M119" s="97" t="s">
        <v>731</v>
      </c>
      <c r="O119" s="97" t="s">
        <v>608</v>
      </c>
      <c r="P119" s="1"/>
      <c r="Q119" s="1"/>
      <c r="R119" s="1"/>
      <c r="S119" s="1"/>
      <c r="T119" s="1"/>
      <c r="U119" s="1"/>
      <c r="V119" s="1"/>
      <c r="W119" s="1"/>
      <c r="X119" s="1"/>
      <c r="Y119" s="1"/>
      <c r="Z119" s="1"/>
      <c r="AA119" s="1"/>
      <c r="AB119" s="1"/>
      <c r="AC119" s="1"/>
      <c r="AD119" s="1"/>
      <c r="AE119" s="1"/>
    </row>
    <row r="120" customFormat="false" ht="36" hidden="false" customHeight="true" outlineLevel="0" collapsed="false">
      <c r="A120" s="13" t="s">
        <v>787</v>
      </c>
      <c r="B120" s="14" t="s">
        <v>788</v>
      </c>
      <c r="C120" s="98" t="s">
        <v>57</v>
      </c>
      <c r="D120" s="99" t="str">
        <f aca="false">IFERROR(INDEX(値リスト!$A$3:$A$9,MATCH(C120,値リスト!$B$3:$B$9,0)),"")</f>
        <v>processed</v>
      </c>
      <c r="E120" s="100" t="s">
        <v>110</v>
      </c>
      <c r="F120" s="101" t="str">
        <f aca="false">IFERROR(INDEX(値リスト!$A$14:$A$24,MATCH(E120,値リスト!$B$14:$B$24,0)),"")</f>
        <v>mystic</v>
      </c>
      <c r="G120" s="100" t="s">
        <v>63</v>
      </c>
      <c r="H120" s="101" t="str">
        <f aca="false">IFERROR(INDEX(値リスト!$A$27:$A$33,MATCH(G120,値リスト!$B$27:$B$33,0)),"")</f>
        <v>preserve</v>
      </c>
      <c r="I120" s="12" t="s">
        <v>789</v>
      </c>
      <c r="J120" s="102" t="s">
        <v>752</v>
      </c>
      <c r="K120" s="12" t="s">
        <v>580</v>
      </c>
      <c r="L120" s="1" t="n">
        <v>310</v>
      </c>
      <c r="M120" s="97" t="s">
        <v>771</v>
      </c>
      <c r="O120" s="97" t="s">
        <v>581</v>
      </c>
      <c r="P120" s="1"/>
      <c r="Q120" s="1"/>
      <c r="R120" s="1"/>
      <c r="S120" s="1"/>
      <c r="T120" s="1"/>
      <c r="U120" s="1"/>
      <c r="V120" s="1"/>
      <c r="W120" s="1"/>
      <c r="X120" s="1"/>
      <c r="Y120" s="1"/>
      <c r="Z120" s="1"/>
      <c r="AA120" s="1"/>
      <c r="AB120" s="1"/>
      <c r="AC120" s="1"/>
      <c r="AD120" s="1"/>
      <c r="AE120" s="1"/>
    </row>
    <row r="121" customFormat="false" ht="36" hidden="false" customHeight="true" outlineLevel="0" collapsed="false">
      <c r="A121" s="13" t="s">
        <v>790</v>
      </c>
      <c r="B121" s="14" t="s">
        <v>791</v>
      </c>
      <c r="C121" s="98" t="s">
        <v>57</v>
      </c>
      <c r="D121" s="99" t="str">
        <f aca="false">IFERROR(INDEX(値リスト!$A$3:$A$9,MATCH(C121,値リスト!$B$3:$B$9,0)),"")</f>
        <v>processed</v>
      </c>
      <c r="E121" s="100" t="s">
        <v>125</v>
      </c>
      <c r="F121" s="101" t="str">
        <f aca="false">IFERROR(INDEX(値リスト!$A$14:$A$24,MATCH(E121,値リスト!$B$14:$B$24,0)),"")</f>
        <v>none</v>
      </c>
      <c r="G121" s="100" t="s">
        <v>150</v>
      </c>
      <c r="H121" s="101" t="str">
        <f aca="false">IFERROR(INDEX(値リスト!$A$27:$A$33,MATCH(G121,値リスト!$B$27:$B$33,0)),"")</f>
        <v>permeate</v>
      </c>
      <c r="I121" s="12" t="s">
        <v>792</v>
      </c>
      <c r="J121" s="102" t="s">
        <v>752</v>
      </c>
      <c r="K121" s="12" t="s">
        <v>580</v>
      </c>
      <c r="L121" s="1" t="n">
        <v>30</v>
      </c>
      <c r="M121" s="97" t="s">
        <v>771</v>
      </c>
      <c r="O121" s="97" t="s">
        <v>581</v>
      </c>
      <c r="P121" s="1"/>
      <c r="Q121" s="1"/>
      <c r="R121" s="1"/>
      <c r="S121" s="1"/>
      <c r="T121" s="1"/>
      <c r="U121" s="1"/>
      <c r="V121" s="1"/>
      <c r="W121" s="1"/>
      <c r="X121" s="1"/>
      <c r="Y121" s="1"/>
      <c r="Z121" s="1"/>
      <c r="AA121" s="1"/>
      <c r="AB121" s="1"/>
      <c r="AC121" s="1"/>
      <c r="AD121" s="1"/>
      <c r="AE121" s="1"/>
    </row>
    <row r="122" customFormat="false" ht="36" hidden="false" customHeight="true" outlineLevel="0" collapsed="false">
      <c r="A122" s="13" t="s">
        <v>793</v>
      </c>
      <c r="B122" s="14" t="s">
        <v>794</v>
      </c>
      <c r="C122" s="98" t="s">
        <v>57</v>
      </c>
      <c r="D122" s="99" t="str">
        <f aca="false">IFERROR(INDEX(値リスト!$A$3:$A$9,MATCH(C122,値リスト!$B$3:$B$9,0)),"")</f>
        <v>processed</v>
      </c>
      <c r="E122" s="100" t="s">
        <v>92</v>
      </c>
      <c r="F122" s="101" t="str">
        <f aca="false">IFERROR(INDEX(値リスト!$A$14:$A$24,MATCH(E122,値リスト!$B$14:$B$24,0)),"")</f>
        <v>sedation</v>
      </c>
      <c r="G122" s="100" t="s">
        <v>147</v>
      </c>
      <c r="H122" s="101" t="str">
        <f aca="false">IFERROR(INDEX(値リスト!$A$27:$A$33,MATCH(G122,値リスト!$B$27:$B$33,0)),"")</f>
        <v>volatile</v>
      </c>
      <c r="I122" s="12" t="s">
        <v>795</v>
      </c>
      <c r="J122" s="102" t="s">
        <v>752</v>
      </c>
      <c r="K122" s="12" t="s">
        <v>580</v>
      </c>
      <c r="L122" s="1" t="n">
        <v>655</v>
      </c>
      <c r="M122" s="97" t="s">
        <v>731</v>
      </c>
      <c r="O122" s="97" t="s">
        <v>608</v>
      </c>
      <c r="P122" s="1"/>
      <c r="Q122" s="1"/>
      <c r="R122" s="1"/>
      <c r="S122" s="1"/>
      <c r="T122" s="1"/>
      <c r="U122" s="1"/>
      <c r="V122" s="1"/>
      <c r="W122" s="1"/>
      <c r="X122" s="1"/>
      <c r="Y122" s="1"/>
      <c r="Z122" s="1"/>
      <c r="AA122" s="1"/>
      <c r="AB122" s="1"/>
      <c r="AC122" s="1"/>
      <c r="AD122" s="1"/>
      <c r="AE122" s="1"/>
    </row>
    <row r="123" customFormat="false" ht="36" hidden="false" customHeight="true" outlineLevel="0" collapsed="false">
      <c r="A123" s="13" t="s">
        <v>796</v>
      </c>
      <c r="B123" s="14" t="s">
        <v>797</v>
      </c>
      <c r="C123" s="98" t="s">
        <v>57</v>
      </c>
      <c r="D123" s="99" t="str">
        <f aca="false">IFERROR(INDEX(値リスト!$A$3:$A$9,MATCH(C123,値リスト!$B$3:$B$9,0)),"")</f>
        <v>processed</v>
      </c>
      <c r="E123" s="100" t="s">
        <v>116</v>
      </c>
      <c r="F123" s="101" t="str">
        <f aca="false">IFERROR(INDEX(値リスト!$A$14:$A$24,MATCH(E123,値リスト!$B$14:$B$24,0)),"")</f>
        <v>insulation</v>
      </c>
      <c r="G123" s="100" t="s">
        <v>133</v>
      </c>
      <c r="H123" s="101" t="str">
        <f aca="false">IFERROR(INDEX(値リスト!$A$27:$A$33,MATCH(G123,値リスト!$B$27:$B$33,0)),"")</f>
        <v>coagulate</v>
      </c>
      <c r="I123" s="12" t="s">
        <v>798</v>
      </c>
      <c r="J123" s="102" t="s">
        <v>752</v>
      </c>
      <c r="K123" s="12" t="s">
        <v>580</v>
      </c>
      <c r="L123" s="1" t="n">
        <v>85</v>
      </c>
      <c r="M123" s="97" t="s">
        <v>731</v>
      </c>
      <c r="O123" s="97" t="s">
        <v>608</v>
      </c>
      <c r="P123" s="1"/>
      <c r="Q123" s="1"/>
      <c r="R123" s="1"/>
      <c r="S123" s="1"/>
      <c r="T123" s="1"/>
      <c r="U123" s="1"/>
      <c r="V123" s="1"/>
      <c r="W123" s="1"/>
      <c r="X123" s="1"/>
      <c r="Y123" s="1"/>
      <c r="Z123" s="1"/>
      <c r="AA123" s="1"/>
      <c r="AB123" s="1"/>
      <c r="AC123" s="1"/>
      <c r="AD123" s="1"/>
      <c r="AE123" s="1"/>
    </row>
    <row r="124" customFormat="false" ht="36" hidden="false" customHeight="true" outlineLevel="0" collapsed="false">
      <c r="A124" s="13" t="s">
        <v>799</v>
      </c>
      <c r="B124" s="14" t="s">
        <v>800</v>
      </c>
      <c r="C124" s="98" t="s">
        <v>57</v>
      </c>
      <c r="D124" s="99" t="str">
        <f aca="false">IFERROR(INDEX(値リスト!$A$3:$A$9,MATCH(C124,値リスト!$B$3:$B$9,0)),"")</f>
        <v>processed</v>
      </c>
      <c r="E124" s="100" t="s">
        <v>125</v>
      </c>
      <c r="F124" s="101" t="str">
        <f aca="false">IFERROR(INDEX(値リスト!$A$14:$A$24,MATCH(E124,値リスト!$B$14:$B$24,0)),"")</f>
        <v>none</v>
      </c>
      <c r="G124" s="100" t="s">
        <v>156</v>
      </c>
      <c r="H124" s="101" t="str">
        <f aca="false">IFERROR(INDEX(値リスト!$A$27:$A$33,MATCH(G124,値リスト!$B$27:$B$33,0)),"")</f>
        <v>neutralize</v>
      </c>
      <c r="I124" s="12" t="s">
        <v>801</v>
      </c>
      <c r="J124" s="102" t="s">
        <v>752</v>
      </c>
      <c r="K124" s="12" t="s">
        <v>580</v>
      </c>
      <c r="L124" s="1" t="n">
        <v>30</v>
      </c>
      <c r="M124" s="97" t="s">
        <v>771</v>
      </c>
      <c r="O124" s="97" t="s">
        <v>617</v>
      </c>
      <c r="P124" s="1"/>
      <c r="Q124" s="1"/>
      <c r="R124" s="1"/>
      <c r="S124" s="1"/>
      <c r="T124" s="1"/>
      <c r="U124" s="1"/>
      <c r="V124" s="1"/>
      <c r="W124" s="1"/>
      <c r="X124" s="1"/>
      <c r="Y124" s="1"/>
      <c r="Z124" s="1"/>
      <c r="AA124" s="1"/>
      <c r="AB124" s="1"/>
      <c r="AC124" s="1"/>
      <c r="AD124" s="1"/>
      <c r="AE124" s="1"/>
    </row>
    <row r="125" customFormat="false" ht="36" hidden="false" customHeight="true" outlineLevel="0" collapsed="false">
      <c r="A125" s="13" t="s">
        <v>802</v>
      </c>
      <c r="B125" s="14" t="s">
        <v>803</v>
      </c>
      <c r="C125" s="98" t="s">
        <v>57</v>
      </c>
      <c r="D125" s="99" t="str">
        <f aca="false">IFERROR(INDEX(値リスト!$A$3:$A$9,MATCH(C125,値リスト!$B$3:$B$9,0)),"")</f>
        <v>processed</v>
      </c>
      <c r="E125" s="100" t="s">
        <v>110</v>
      </c>
      <c r="F125" s="101" t="str">
        <f aca="false">IFERROR(INDEX(値リスト!$A$14:$A$24,MATCH(E125,値リスト!$B$14:$B$24,0)),"")</f>
        <v>mystic</v>
      </c>
      <c r="G125" s="100" t="s">
        <v>150</v>
      </c>
      <c r="H125" s="101" t="str">
        <f aca="false">IFERROR(INDEX(値リスト!$A$27:$A$33,MATCH(G125,値リスト!$B$27:$B$33,0)),"")</f>
        <v>permeate</v>
      </c>
      <c r="I125" s="12" t="s">
        <v>804</v>
      </c>
      <c r="J125" s="102" t="s">
        <v>752</v>
      </c>
      <c r="K125" s="12" t="s">
        <v>580</v>
      </c>
      <c r="L125" s="1" t="n">
        <v>30</v>
      </c>
      <c r="M125" s="97" t="s">
        <v>771</v>
      </c>
      <c r="O125" s="97" t="s">
        <v>581</v>
      </c>
      <c r="P125" s="1"/>
      <c r="Q125" s="1"/>
      <c r="R125" s="1"/>
      <c r="S125" s="1"/>
      <c r="T125" s="1"/>
      <c r="U125" s="1"/>
      <c r="V125" s="1"/>
      <c r="W125" s="1"/>
      <c r="X125" s="1"/>
      <c r="Y125" s="1"/>
      <c r="Z125" s="1"/>
      <c r="AA125" s="1"/>
      <c r="AB125" s="1"/>
      <c r="AC125" s="1"/>
      <c r="AD125" s="1"/>
      <c r="AE125" s="1"/>
    </row>
    <row r="126" customFormat="false" ht="36" hidden="false" customHeight="true" outlineLevel="0" collapsed="false">
      <c r="A126" s="13" t="s">
        <v>805</v>
      </c>
      <c r="B126" s="14" t="s">
        <v>806</v>
      </c>
      <c r="C126" s="98" t="s">
        <v>57</v>
      </c>
      <c r="D126" s="99" t="str">
        <f aca="false">IFERROR(INDEX(値リスト!$A$3:$A$9,MATCH(C126,値リスト!$B$3:$B$9,0)),"")</f>
        <v>processed</v>
      </c>
      <c r="E126" s="100" t="s">
        <v>104</v>
      </c>
      <c r="F126" s="101" t="str">
        <f aca="false">IFERROR(INDEX(値リスト!$A$14:$A$24,MATCH(E126,値リスト!$B$14:$B$24,0)),"")</f>
        <v>levitation</v>
      </c>
      <c r="G126" s="100" t="s">
        <v>147</v>
      </c>
      <c r="H126" s="101" t="str">
        <f aca="false">IFERROR(INDEX(値リスト!$A$27:$A$33,MATCH(G126,値リスト!$B$27:$B$33,0)),"")</f>
        <v>volatile</v>
      </c>
      <c r="I126" s="12" t="s">
        <v>807</v>
      </c>
      <c r="J126" s="102" t="s">
        <v>752</v>
      </c>
      <c r="K126" s="12" t="s">
        <v>580</v>
      </c>
      <c r="L126" s="1" t="n">
        <v>360</v>
      </c>
      <c r="M126" s="97" t="s">
        <v>731</v>
      </c>
      <c r="O126" s="97" t="s">
        <v>608</v>
      </c>
      <c r="P126" s="1"/>
      <c r="Q126" s="1"/>
      <c r="R126" s="1"/>
      <c r="S126" s="1"/>
      <c r="T126" s="1"/>
      <c r="U126" s="1"/>
      <c r="V126" s="1"/>
      <c r="W126" s="1"/>
      <c r="X126" s="1"/>
      <c r="Y126" s="1"/>
      <c r="Z126" s="1"/>
      <c r="AA126" s="1"/>
      <c r="AB126" s="1"/>
      <c r="AC126" s="1"/>
      <c r="AD126" s="1"/>
      <c r="AE126" s="1"/>
    </row>
    <row r="127" customFormat="false" ht="36" hidden="false" customHeight="true" outlineLevel="0" collapsed="false">
      <c r="A127" s="13" t="s">
        <v>808</v>
      </c>
      <c r="B127" s="14" t="s">
        <v>809</v>
      </c>
      <c r="C127" s="98" t="s">
        <v>57</v>
      </c>
      <c r="D127" s="99" t="str">
        <f aca="false">IFERROR(INDEX(値リスト!$A$3:$A$9,MATCH(C127,値リスト!$B$3:$B$9,0)),"")</f>
        <v>processed</v>
      </c>
      <c r="E127" s="100" t="s">
        <v>110</v>
      </c>
      <c r="F127" s="101" t="str">
        <f aca="false">IFERROR(INDEX(値リスト!$A$14:$A$24,MATCH(E127,値リスト!$B$14:$B$24,0)),"")</f>
        <v>mystic</v>
      </c>
      <c r="G127" s="100" t="s">
        <v>153</v>
      </c>
      <c r="H127" s="101" t="str">
        <f aca="false">IFERROR(INDEX(値リスト!$A$27:$A$33,MATCH(G127,値リスト!$B$27:$B$33,0)),"")</f>
        <v>catalyst</v>
      </c>
      <c r="I127" s="12" t="s">
        <v>810</v>
      </c>
      <c r="J127" s="102" t="s">
        <v>752</v>
      </c>
      <c r="K127" s="12" t="s">
        <v>580</v>
      </c>
      <c r="L127" s="1" t="n">
        <v>700</v>
      </c>
      <c r="M127" s="97" t="s">
        <v>731</v>
      </c>
      <c r="O127" s="97" t="s">
        <v>581</v>
      </c>
      <c r="P127" s="1"/>
      <c r="Q127" s="1"/>
      <c r="R127" s="1"/>
      <c r="S127" s="1"/>
      <c r="T127" s="1"/>
      <c r="U127" s="1"/>
      <c r="V127" s="1"/>
      <c r="W127" s="1"/>
      <c r="X127" s="1"/>
      <c r="Y127" s="1"/>
      <c r="Z127" s="1"/>
      <c r="AA127" s="1"/>
      <c r="AB127" s="1"/>
      <c r="AC127" s="1"/>
      <c r="AD127" s="1"/>
      <c r="AE127" s="1"/>
    </row>
    <row r="128" customFormat="false" ht="36" hidden="false" customHeight="true" outlineLevel="0" collapsed="false">
      <c r="A128" s="13" t="s">
        <v>811</v>
      </c>
      <c r="B128" s="14" t="s">
        <v>812</v>
      </c>
      <c r="C128" s="98" t="s">
        <v>57</v>
      </c>
      <c r="D128" s="99" t="str">
        <f aca="false">IFERROR(INDEX(値リスト!$A$3:$A$9,MATCH(C128,値リスト!$B$3:$B$9,0)),"")</f>
        <v>processed</v>
      </c>
      <c r="E128" s="100" t="s">
        <v>72</v>
      </c>
      <c r="F128" s="101" t="str">
        <f aca="false">IFERROR(INDEX(値リスト!$A$14:$A$24,MATCH(E128,値リスト!$B$14:$B$24,0)),"")</f>
        <v>healing</v>
      </c>
      <c r="G128" s="100" t="s">
        <v>133</v>
      </c>
      <c r="H128" s="101" t="str">
        <f aca="false">IFERROR(INDEX(値リスト!$A$27:$A$33,MATCH(G128,値リスト!$B$27:$B$33,0)),"")</f>
        <v>coagulate</v>
      </c>
      <c r="I128" s="12" t="s">
        <v>813</v>
      </c>
      <c r="J128" s="102" t="s">
        <v>752</v>
      </c>
      <c r="K128" s="12" t="s">
        <v>580</v>
      </c>
      <c r="L128" s="1" t="n">
        <v>165</v>
      </c>
      <c r="M128" s="97" t="s">
        <v>731</v>
      </c>
      <c r="O128" s="97" t="s">
        <v>608</v>
      </c>
      <c r="P128" s="1"/>
      <c r="Q128" s="1"/>
      <c r="R128" s="1"/>
      <c r="S128" s="1"/>
      <c r="T128" s="1"/>
      <c r="U128" s="1"/>
      <c r="V128" s="1"/>
      <c r="W128" s="1"/>
      <c r="X128" s="1"/>
      <c r="Y128" s="1"/>
      <c r="Z128" s="1"/>
      <c r="AA128" s="1"/>
      <c r="AB128" s="1"/>
      <c r="AC128" s="1"/>
      <c r="AD128" s="1"/>
      <c r="AE128" s="1"/>
    </row>
    <row r="129" customFormat="false" ht="36" hidden="false" customHeight="true" outlineLevel="0" collapsed="false">
      <c r="A129" s="13" t="s">
        <v>814</v>
      </c>
      <c r="B129" s="14" t="s">
        <v>815</v>
      </c>
      <c r="C129" s="98" t="s">
        <v>57</v>
      </c>
      <c r="D129" s="99" t="str">
        <f aca="false">IFERROR(INDEX(値リスト!$A$3:$A$9,MATCH(C129,値リスト!$B$3:$B$9,0)),"")</f>
        <v>processed</v>
      </c>
      <c r="E129" s="100" t="s">
        <v>72</v>
      </c>
      <c r="F129" s="101" t="str">
        <f aca="false">IFERROR(INDEX(値リスト!$A$14:$A$24,MATCH(E129,値リスト!$B$14:$B$24,0)),"")</f>
        <v>healing</v>
      </c>
      <c r="G129" s="100" t="s">
        <v>133</v>
      </c>
      <c r="H129" s="101" t="str">
        <f aca="false">IFERROR(INDEX(値リスト!$A$27:$A$33,MATCH(G129,値リスト!$B$27:$B$33,0)),"")</f>
        <v>coagulate</v>
      </c>
      <c r="I129" s="12" t="s">
        <v>816</v>
      </c>
      <c r="J129" s="102" t="s">
        <v>752</v>
      </c>
      <c r="K129" s="12" t="s">
        <v>580</v>
      </c>
      <c r="L129" s="1" t="n">
        <v>50</v>
      </c>
      <c r="M129" s="97" t="s">
        <v>731</v>
      </c>
      <c r="O129" s="97" t="s">
        <v>617</v>
      </c>
      <c r="P129" s="1"/>
      <c r="Q129" s="1"/>
      <c r="R129" s="1"/>
      <c r="S129" s="1"/>
      <c r="T129" s="1"/>
      <c r="U129" s="1"/>
      <c r="V129" s="1"/>
      <c r="W129" s="1"/>
      <c r="X129" s="1"/>
      <c r="Y129" s="1"/>
      <c r="Z129" s="1"/>
      <c r="AA129" s="1"/>
      <c r="AB129" s="1"/>
      <c r="AC129" s="1"/>
      <c r="AD129" s="1"/>
      <c r="AE129" s="1"/>
    </row>
    <row r="130" customFormat="false" ht="36" hidden="false" customHeight="true" outlineLevel="0" collapsed="false">
      <c r="A130" s="13" t="s">
        <v>817</v>
      </c>
      <c r="B130" s="14" t="s">
        <v>818</v>
      </c>
      <c r="C130" s="98" t="s">
        <v>57</v>
      </c>
      <c r="D130" s="99" t="str">
        <f aca="false">IFERROR(INDEX(値リスト!$A$3:$A$9,MATCH(C130,値リスト!$B$3:$B$9,0)),"")</f>
        <v>processed</v>
      </c>
      <c r="E130" s="100" t="s">
        <v>77</v>
      </c>
      <c r="F130" s="101" t="str">
        <f aca="false">IFERROR(INDEX(値リスト!$A$14:$A$24,MATCH(E130,値リスト!$B$14:$B$24,0)),"")</f>
        <v>detox</v>
      </c>
      <c r="G130" s="100" t="s">
        <v>147</v>
      </c>
      <c r="H130" s="101" t="str">
        <f aca="false">IFERROR(INDEX(値リスト!$A$27:$A$33,MATCH(G130,値リスト!$B$27:$B$33,0)),"")</f>
        <v>volatile</v>
      </c>
      <c r="I130" s="12" t="s">
        <v>819</v>
      </c>
      <c r="J130" s="102" t="s">
        <v>752</v>
      </c>
      <c r="K130" s="12" t="s">
        <v>580</v>
      </c>
      <c r="L130" s="1" t="n">
        <v>205</v>
      </c>
      <c r="M130" s="97" t="s">
        <v>731</v>
      </c>
      <c r="O130" s="97" t="s">
        <v>581</v>
      </c>
      <c r="P130" s="1"/>
      <c r="Q130" s="1"/>
      <c r="R130" s="1"/>
      <c r="S130" s="1"/>
      <c r="T130" s="1"/>
      <c r="U130" s="1"/>
      <c r="V130" s="1"/>
      <c r="W130" s="1"/>
      <c r="X130" s="1"/>
      <c r="Y130" s="1"/>
      <c r="Z130" s="1"/>
      <c r="AA130" s="1"/>
      <c r="AB130" s="1"/>
      <c r="AC130" s="1"/>
      <c r="AD130" s="1"/>
      <c r="AE130" s="1"/>
    </row>
    <row r="131" customFormat="false" ht="36" hidden="false" customHeight="true" outlineLevel="0" collapsed="false">
      <c r="A131" s="13" t="s">
        <v>820</v>
      </c>
      <c r="B131" s="14" t="s">
        <v>821</v>
      </c>
      <c r="C131" s="98" t="s">
        <v>57</v>
      </c>
      <c r="D131" s="99" t="str">
        <f aca="false">IFERROR(INDEX(値リスト!$A$3:$A$9,MATCH(C131,値リスト!$B$3:$B$9,0)),"")</f>
        <v>processed</v>
      </c>
      <c r="E131" s="100" t="s">
        <v>72</v>
      </c>
      <c r="F131" s="101" t="str">
        <f aca="false">IFERROR(INDEX(値リスト!$A$14:$A$24,MATCH(E131,値リスト!$B$14:$B$24,0)),"")</f>
        <v>healing</v>
      </c>
      <c r="G131" s="100" t="s">
        <v>150</v>
      </c>
      <c r="H131" s="101" t="str">
        <f aca="false">IFERROR(INDEX(値リスト!$A$27:$A$33,MATCH(G131,値リスト!$B$27:$B$33,0)),"")</f>
        <v>permeate</v>
      </c>
      <c r="I131" s="12" t="s">
        <v>822</v>
      </c>
      <c r="J131" s="102" t="s">
        <v>752</v>
      </c>
      <c r="K131" s="12" t="s">
        <v>580</v>
      </c>
      <c r="L131" s="1" t="n">
        <v>155</v>
      </c>
      <c r="M131" s="97" t="s">
        <v>731</v>
      </c>
      <c r="O131" s="97" t="s">
        <v>581</v>
      </c>
      <c r="P131" s="1"/>
      <c r="Q131" s="1"/>
      <c r="R131" s="1"/>
      <c r="S131" s="1"/>
      <c r="T131" s="1"/>
      <c r="U131" s="1"/>
      <c r="V131" s="1"/>
      <c r="W131" s="1"/>
      <c r="X131" s="1"/>
      <c r="Y131" s="1"/>
      <c r="Z131" s="1"/>
      <c r="AA131" s="1"/>
      <c r="AB131" s="1"/>
      <c r="AC131" s="1"/>
      <c r="AD131" s="1"/>
      <c r="AE131" s="1"/>
    </row>
    <row r="132" customFormat="false" ht="36" hidden="false" customHeight="true" outlineLevel="0" collapsed="false">
      <c r="A132" s="13" t="s">
        <v>823</v>
      </c>
      <c r="B132" s="14" t="s">
        <v>824</v>
      </c>
      <c r="C132" s="98" t="s">
        <v>57</v>
      </c>
      <c r="D132" s="99" t="str">
        <f aca="false">IFERROR(INDEX(値リスト!$A$3:$A$9,MATCH(C132,値リスト!$B$3:$B$9,0)),"")</f>
        <v>processed</v>
      </c>
      <c r="E132" s="100" t="s">
        <v>80</v>
      </c>
      <c r="F132" s="101" t="str">
        <f aca="false">IFERROR(INDEX(値リスト!$A$14:$A$24,MATCH(E132,値リスト!$B$14:$B$24,0)),"")</f>
        <v>tonic</v>
      </c>
      <c r="G132" s="100" t="s">
        <v>150</v>
      </c>
      <c r="H132" s="101" t="str">
        <f aca="false">IFERROR(INDEX(値リスト!$A$27:$A$33,MATCH(G132,値リスト!$B$27:$B$33,0)),"")</f>
        <v>permeate</v>
      </c>
      <c r="I132" s="12" t="s">
        <v>825</v>
      </c>
      <c r="J132" s="102" t="s">
        <v>752</v>
      </c>
      <c r="K132" s="12" t="s">
        <v>580</v>
      </c>
      <c r="L132" s="1" t="n">
        <v>175</v>
      </c>
      <c r="M132" s="97" t="s">
        <v>731</v>
      </c>
      <c r="O132" s="97" t="s">
        <v>581</v>
      </c>
      <c r="P132" s="1"/>
      <c r="Q132" s="1"/>
      <c r="R132" s="1"/>
      <c r="S132" s="1"/>
      <c r="T132" s="1"/>
      <c r="U132" s="1"/>
      <c r="V132" s="1"/>
      <c r="W132" s="1"/>
      <c r="X132" s="1"/>
      <c r="Y132" s="1"/>
      <c r="Z132" s="1"/>
      <c r="AA132" s="1"/>
      <c r="AB132" s="1"/>
      <c r="AC132" s="1"/>
      <c r="AD132" s="1"/>
      <c r="AE132" s="1"/>
    </row>
    <row r="133" customFormat="false" ht="36" hidden="false" customHeight="true" outlineLevel="0" collapsed="false">
      <c r="A133" s="13" t="s">
        <v>826</v>
      </c>
      <c r="B133" s="14" t="s">
        <v>827</v>
      </c>
      <c r="C133" s="98" t="s">
        <v>57</v>
      </c>
      <c r="D133" s="99" t="str">
        <f aca="false">IFERROR(INDEX(値リスト!$A$3:$A$9,MATCH(C133,値リスト!$B$3:$B$9,0)),"")</f>
        <v>processed</v>
      </c>
      <c r="E133" s="100" t="s">
        <v>86</v>
      </c>
      <c r="F133" s="101" t="str">
        <f aca="false">IFERROR(INDEX(値リスト!$A$14:$A$24,MATCH(E133,値リスト!$B$14:$B$24,0)),"")</f>
        <v>stimulation</v>
      </c>
      <c r="G133" s="100" t="s">
        <v>133</v>
      </c>
      <c r="H133" s="101" t="str">
        <f aca="false">IFERROR(INDEX(値リスト!$A$27:$A$33,MATCH(G133,値リスト!$B$27:$B$33,0)),"")</f>
        <v>coagulate</v>
      </c>
      <c r="I133" s="12" t="s">
        <v>828</v>
      </c>
      <c r="J133" s="102" t="s">
        <v>752</v>
      </c>
      <c r="K133" s="12" t="s">
        <v>580</v>
      </c>
      <c r="L133" s="1" t="n">
        <v>175</v>
      </c>
      <c r="M133" s="97" t="s">
        <v>731</v>
      </c>
      <c r="O133" s="97" t="s">
        <v>608</v>
      </c>
      <c r="P133" s="1"/>
      <c r="Q133" s="1"/>
      <c r="R133" s="1"/>
      <c r="S133" s="1"/>
      <c r="T133" s="1"/>
      <c r="U133" s="1"/>
      <c r="V133" s="1"/>
      <c r="W133" s="1"/>
      <c r="X133" s="1"/>
      <c r="Y133" s="1"/>
      <c r="Z133" s="1"/>
      <c r="AA133" s="1"/>
      <c r="AB133" s="1"/>
      <c r="AC133" s="1"/>
      <c r="AD133" s="1"/>
      <c r="AE133" s="1"/>
    </row>
    <row r="134" customFormat="false" ht="36" hidden="false" customHeight="true" outlineLevel="0" collapsed="false">
      <c r="A134" s="13" t="s">
        <v>829</v>
      </c>
      <c r="B134" s="14" t="s">
        <v>830</v>
      </c>
      <c r="C134" s="98" t="s">
        <v>57</v>
      </c>
      <c r="D134" s="99" t="str">
        <f aca="false">IFERROR(INDEX(値リスト!$A$3:$A$9,MATCH(C134,値リスト!$B$3:$B$9,0)),"")</f>
        <v>processed</v>
      </c>
      <c r="E134" s="100" t="s">
        <v>92</v>
      </c>
      <c r="F134" s="101" t="str">
        <f aca="false">IFERROR(INDEX(値リスト!$A$14:$A$24,MATCH(E134,値リスト!$B$14:$B$24,0)),"")</f>
        <v>sedation</v>
      </c>
      <c r="G134" s="100" t="s">
        <v>150</v>
      </c>
      <c r="H134" s="101" t="str">
        <f aca="false">IFERROR(INDEX(値リスト!$A$27:$A$33,MATCH(G134,値リスト!$B$27:$B$33,0)),"")</f>
        <v>permeate</v>
      </c>
      <c r="I134" s="12" t="s">
        <v>831</v>
      </c>
      <c r="J134" s="102" t="s">
        <v>752</v>
      </c>
      <c r="K134" s="12" t="s">
        <v>580</v>
      </c>
      <c r="L134" s="1" t="n">
        <v>205</v>
      </c>
      <c r="M134" s="97" t="s">
        <v>731</v>
      </c>
      <c r="O134" s="97" t="s">
        <v>581</v>
      </c>
      <c r="P134" s="1"/>
      <c r="Q134" s="1"/>
      <c r="R134" s="1"/>
      <c r="S134" s="1"/>
      <c r="T134" s="1"/>
      <c r="U134" s="1"/>
      <c r="V134" s="1"/>
      <c r="W134" s="1"/>
      <c r="X134" s="1"/>
      <c r="Y134" s="1"/>
      <c r="Z134" s="1"/>
      <c r="AA134" s="1"/>
      <c r="AB134" s="1"/>
      <c r="AC134" s="1"/>
      <c r="AD134" s="1"/>
      <c r="AE134" s="1"/>
    </row>
    <row r="135" customFormat="false" ht="36" hidden="false" customHeight="true" outlineLevel="0" collapsed="false">
      <c r="A135" s="13" t="s">
        <v>832</v>
      </c>
      <c r="B135" s="14" t="s">
        <v>833</v>
      </c>
      <c r="C135" s="98" t="s">
        <v>57</v>
      </c>
      <c r="D135" s="99" t="str">
        <f aca="false">IFERROR(INDEX(値リスト!$A$3:$A$9,MATCH(C135,値リスト!$B$3:$B$9,0)),"")</f>
        <v>processed</v>
      </c>
      <c r="E135" s="100" t="s">
        <v>125</v>
      </c>
      <c r="F135" s="101" t="str">
        <f aca="false">IFERROR(INDEX(値リスト!$A$14:$A$24,MATCH(E135,値リスト!$B$14:$B$24,0)),"")</f>
        <v>none</v>
      </c>
      <c r="G135" s="100" t="s">
        <v>147</v>
      </c>
      <c r="H135" s="101" t="str">
        <f aca="false">IFERROR(INDEX(値リスト!$A$27:$A$33,MATCH(G135,値リスト!$B$27:$B$33,0)),"")</f>
        <v>volatile</v>
      </c>
      <c r="I135" s="12" t="s">
        <v>834</v>
      </c>
      <c r="J135" s="102" t="s">
        <v>752</v>
      </c>
      <c r="K135" s="12" t="s">
        <v>580</v>
      </c>
      <c r="L135" s="1" t="n">
        <v>115</v>
      </c>
      <c r="M135" s="97" t="s">
        <v>771</v>
      </c>
      <c r="O135" s="97" t="s">
        <v>608</v>
      </c>
      <c r="P135" s="1"/>
      <c r="Q135" s="1"/>
      <c r="R135" s="1"/>
      <c r="S135" s="1"/>
      <c r="T135" s="1"/>
      <c r="U135" s="1"/>
      <c r="V135" s="1"/>
      <c r="W135" s="1"/>
      <c r="X135" s="1"/>
      <c r="Y135" s="1"/>
      <c r="Z135" s="1"/>
      <c r="AA135" s="1"/>
      <c r="AB135" s="1"/>
      <c r="AC135" s="1"/>
      <c r="AD135" s="1"/>
      <c r="AE135" s="1"/>
    </row>
    <row r="136" customFormat="false" ht="36" hidden="false" customHeight="true" outlineLevel="0" collapsed="false">
      <c r="A136" s="13" t="s">
        <v>835</v>
      </c>
      <c r="B136" s="14" t="s">
        <v>836</v>
      </c>
      <c r="C136" s="98" t="s">
        <v>57</v>
      </c>
      <c r="D136" s="99" t="str">
        <f aca="false">IFERROR(INDEX(値リスト!$A$3:$A$9,MATCH(C136,値リスト!$B$3:$B$9,0)),"")</f>
        <v>processed</v>
      </c>
      <c r="E136" s="100" t="s">
        <v>116</v>
      </c>
      <c r="F136" s="101" t="str">
        <f aca="false">IFERROR(INDEX(値リスト!$A$14:$A$24,MATCH(E136,値リスト!$B$14:$B$24,0)),"")</f>
        <v>insulation</v>
      </c>
      <c r="G136" s="100" t="s">
        <v>133</v>
      </c>
      <c r="H136" s="101" t="str">
        <f aca="false">IFERROR(INDEX(値リスト!$A$27:$A$33,MATCH(G136,値リスト!$B$27:$B$33,0)),"")</f>
        <v>coagulate</v>
      </c>
      <c r="I136" s="12" t="s">
        <v>837</v>
      </c>
      <c r="J136" s="102" t="s">
        <v>752</v>
      </c>
      <c r="K136" s="12" t="s">
        <v>580</v>
      </c>
      <c r="L136" s="1" t="n">
        <v>250</v>
      </c>
      <c r="M136" s="97" t="s">
        <v>731</v>
      </c>
      <c r="O136" s="97" t="s">
        <v>608</v>
      </c>
      <c r="P136" s="1"/>
      <c r="Q136" s="1"/>
      <c r="R136" s="1"/>
      <c r="S136" s="1"/>
      <c r="T136" s="1"/>
      <c r="U136" s="1"/>
      <c r="V136" s="1"/>
      <c r="W136" s="1"/>
      <c r="X136" s="1"/>
      <c r="Y136" s="1"/>
      <c r="Z136" s="1"/>
      <c r="AA136" s="1"/>
      <c r="AB136" s="1"/>
      <c r="AC136" s="1"/>
      <c r="AD136" s="1"/>
      <c r="AE136" s="1"/>
    </row>
    <row r="137" customFormat="false" ht="36" hidden="false" customHeight="true" outlineLevel="0" collapsed="false">
      <c r="A137" s="13" t="s">
        <v>838</v>
      </c>
      <c r="B137" s="14" t="s">
        <v>839</v>
      </c>
      <c r="C137" s="98" t="s">
        <v>57</v>
      </c>
      <c r="D137" s="99" t="str">
        <f aca="false">IFERROR(INDEX(値リスト!$A$3:$A$9,MATCH(C137,値リスト!$B$3:$B$9,0)),"")</f>
        <v>processed</v>
      </c>
      <c r="E137" s="100" t="s">
        <v>77</v>
      </c>
      <c r="F137" s="101" t="str">
        <f aca="false">IFERROR(INDEX(値リスト!$A$14:$A$24,MATCH(E137,値リスト!$B$14:$B$24,0)),"")</f>
        <v>detox</v>
      </c>
      <c r="G137" s="100" t="s">
        <v>150</v>
      </c>
      <c r="H137" s="101" t="str">
        <f aca="false">IFERROR(INDEX(値リスト!$A$27:$A$33,MATCH(G137,値リスト!$B$27:$B$33,0)),"")</f>
        <v>permeate</v>
      </c>
      <c r="I137" s="12" t="s">
        <v>840</v>
      </c>
      <c r="J137" s="102" t="s">
        <v>752</v>
      </c>
      <c r="K137" s="12" t="s">
        <v>580</v>
      </c>
      <c r="L137" s="1" t="n">
        <v>75</v>
      </c>
      <c r="M137" s="97" t="s">
        <v>731</v>
      </c>
      <c r="O137" s="97" t="s">
        <v>581</v>
      </c>
      <c r="P137" s="1"/>
      <c r="Q137" s="1"/>
      <c r="R137" s="1"/>
      <c r="S137" s="1"/>
      <c r="T137" s="1"/>
      <c r="U137" s="1"/>
      <c r="V137" s="1"/>
      <c r="W137" s="1"/>
      <c r="X137" s="1"/>
      <c r="Y137" s="1"/>
      <c r="Z137" s="1"/>
      <c r="AA137" s="1"/>
      <c r="AB137" s="1"/>
      <c r="AC137" s="1"/>
      <c r="AD137" s="1"/>
      <c r="AE137" s="1"/>
    </row>
    <row r="138" customFormat="false" ht="36" hidden="false" customHeight="true" outlineLevel="0" collapsed="false">
      <c r="A138" s="13" t="s">
        <v>841</v>
      </c>
      <c r="B138" s="14" t="s">
        <v>842</v>
      </c>
      <c r="C138" s="98" t="s">
        <v>57</v>
      </c>
      <c r="D138" s="99" t="str">
        <f aca="false">IFERROR(INDEX(値リスト!$A$3:$A$9,MATCH(C138,値リスト!$B$3:$B$9,0)),"")</f>
        <v>processed</v>
      </c>
      <c r="E138" s="100" t="s">
        <v>125</v>
      </c>
      <c r="F138" s="101" t="str">
        <f aca="false">IFERROR(INDEX(値リスト!$A$14:$A$24,MATCH(E138,値リスト!$B$14:$B$24,0)),"")</f>
        <v>none</v>
      </c>
      <c r="G138" s="100" t="s">
        <v>142</v>
      </c>
      <c r="H138" s="101" t="str">
        <f aca="false">IFERROR(INDEX(値リスト!$A$27:$A$33,MATCH(G138,値リスト!$B$27:$B$33,0)),"")</f>
        <v>separate</v>
      </c>
      <c r="I138" s="12" t="s">
        <v>843</v>
      </c>
      <c r="J138" s="102" t="s">
        <v>752</v>
      </c>
      <c r="K138" s="12" t="s">
        <v>580</v>
      </c>
      <c r="L138" s="1" t="n">
        <v>145</v>
      </c>
      <c r="M138" s="97" t="s">
        <v>771</v>
      </c>
      <c r="O138" s="97" t="s">
        <v>617</v>
      </c>
      <c r="P138" s="1"/>
      <c r="Q138" s="1"/>
      <c r="R138" s="1"/>
      <c r="S138" s="1"/>
      <c r="T138" s="1"/>
      <c r="U138" s="1"/>
      <c r="V138" s="1"/>
      <c r="W138" s="1"/>
      <c r="X138" s="1"/>
      <c r="Y138" s="1"/>
      <c r="Z138" s="1"/>
      <c r="AA138" s="1"/>
      <c r="AB138" s="1"/>
      <c r="AC138" s="1"/>
      <c r="AD138" s="1"/>
      <c r="AE138" s="1"/>
    </row>
    <row r="139" customFormat="false" ht="36" hidden="false" customHeight="true" outlineLevel="0" collapsed="false">
      <c r="A139" s="13" t="s">
        <v>844</v>
      </c>
      <c r="B139" s="14" t="s">
        <v>845</v>
      </c>
      <c r="C139" s="98" t="s">
        <v>57</v>
      </c>
      <c r="D139" s="99" t="str">
        <f aca="false">IFERROR(INDEX(値リスト!$A$3:$A$9,MATCH(C139,値リスト!$B$3:$B$9,0)),"")</f>
        <v>processed</v>
      </c>
      <c r="E139" s="100" t="s">
        <v>72</v>
      </c>
      <c r="F139" s="101" t="str">
        <f aca="false">IFERROR(INDEX(値リスト!$A$14:$A$24,MATCH(E139,値リスト!$B$14:$B$24,0)),"")</f>
        <v>healing</v>
      </c>
      <c r="G139" s="100" t="s">
        <v>150</v>
      </c>
      <c r="H139" s="101" t="str">
        <f aca="false">IFERROR(INDEX(値リスト!$A$27:$A$33,MATCH(G139,値リスト!$B$27:$B$33,0)),"")</f>
        <v>permeate</v>
      </c>
      <c r="I139" s="12" t="s">
        <v>846</v>
      </c>
      <c r="J139" s="102" t="s">
        <v>752</v>
      </c>
      <c r="K139" s="12" t="s">
        <v>580</v>
      </c>
      <c r="L139" s="1" t="n">
        <v>160</v>
      </c>
      <c r="M139" s="97" t="s">
        <v>731</v>
      </c>
      <c r="O139" s="97" t="s">
        <v>581</v>
      </c>
      <c r="P139" s="1"/>
      <c r="Q139" s="1"/>
      <c r="R139" s="1"/>
      <c r="S139" s="1"/>
      <c r="T139" s="1"/>
      <c r="U139" s="1"/>
      <c r="V139" s="1"/>
      <c r="W139" s="1"/>
      <c r="X139" s="1"/>
      <c r="Y139" s="1"/>
      <c r="Z139" s="1"/>
      <c r="AA139" s="1"/>
      <c r="AB139" s="1"/>
      <c r="AC139" s="1"/>
      <c r="AD139" s="1"/>
      <c r="AE139" s="1"/>
    </row>
    <row r="140" customFormat="false" ht="36" hidden="false" customHeight="true" outlineLevel="0" collapsed="false">
      <c r="A140" s="13" t="s">
        <v>847</v>
      </c>
      <c r="B140" s="14" t="s">
        <v>848</v>
      </c>
      <c r="C140" s="98" t="s">
        <v>57</v>
      </c>
      <c r="D140" s="99" t="str">
        <f aca="false">IFERROR(INDEX(値リスト!$A$3:$A$9,MATCH(C140,値リスト!$B$3:$B$9,0)),"")</f>
        <v>processed</v>
      </c>
      <c r="E140" s="100" t="s">
        <v>86</v>
      </c>
      <c r="F140" s="101" t="str">
        <f aca="false">IFERROR(INDEX(値リスト!$A$14:$A$24,MATCH(E140,値リスト!$B$14:$B$24,0)),"")</f>
        <v>stimulation</v>
      </c>
      <c r="G140" s="100" t="s">
        <v>147</v>
      </c>
      <c r="H140" s="101" t="str">
        <f aca="false">IFERROR(INDEX(値リスト!$A$27:$A$33,MATCH(G140,値リスト!$B$27:$B$33,0)),"")</f>
        <v>volatile</v>
      </c>
      <c r="I140" s="12" t="s">
        <v>849</v>
      </c>
      <c r="J140" s="102" t="s">
        <v>752</v>
      </c>
      <c r="K140" s="12" t="s">
        <v>580</v>
      </c>
      <c r="L140" s="1" t="n">
        <v>265</v>
      </c>
      <c r="M140" s="97" t="s">
        <v>731</v>
      </c>
      <c r="O140" s="97" t="s">
        <v>581</v>
      </c>
      <c r="P140" s="1"/>
      <c r="Q140" s="1"/>
      <c r="R140" s="1"/>
      <c r="S140" s="1"/>
      <c r="T140" s="1"/>
      <c r="U140" s="1"/>
      <c r="V140" s="1"/>
      <c r="W140" s="1"/>
      <c r="X140" s="1"/>
      <c r="Y140" s="1"/>
      <c r="Z140" s="1"/>
      <c r="AA140" s="1"/>
      <c r="AB140" s="1"/>
      <c r="AC140" s="1"/>
      <c r="AD140" s="1"/>
      <c r="AE140" s="1"/>
    </row>
    <row r="141" customFormat="false" ht="36" hidden="false" customHeight="true" outlineLevel="0" collapsed="false">
      <c r="A141" s="13" t="s">
        <v>850</v>
      </c>
      <c r="B141" s="14" t="s">
        <v>851</v>
      </c>
      <c r="C141" s="98" t="s">
        <v>57</v>
      </c>
      <c r="D141" s="99" t="str">
        <f aca="false">IFERROR(INDEX(値リスト!$A$3:$A$9,MATCH(C141,値リスト!$B$3:$B$9,0)),"")</f>
        <v>processed</v>
      </c>
      <c r="E141" s="100" t="s">
        <v>80</v>
      </c>
      <c r="F141" s="101" t="str">
        <f aca="false">IFERROR(INDEX(値リスト!$A$14:$A$24,MATCH(E141,値リスト!$B$14:$B$24,0)),"")</f>
        <v>tonic</v>
      </c>
      <c r="G141" s="100" t="s">
        <v>63</v>
      </c>
      <c r="H141" s="101" t="str">
        <f aca="false">IFERROR(INDEX(値リスト!$A$27:$A$33,MATCH(G141,値リスト!$B$27:$B$33,0)),"")</f>
        <v>preserve</v>
      </c>
      <c r="I141" s="12" t="s">
        <v>852</v>
      </c>
      <c r="J141" s="102" t="s">
        <v>752</v>
      </c>
      <c r="K141" s="12" t="s">
        <v>580</v>
      </c>
      <c r="L141" s="1" t="n">
        <v>120</v>
      </c>
      <c r="M141" s="97" t="s">
        <v>731</v>
      </c>
      <c r="O141" s="97" t="s">
        <v>608</v>
      </c>
      <c r="P141" s="1"/>
      <c r="Q141" s="1"/>
      <c r="R141" s="1"/>
      <c r="S141" s="1"/>
      <c r="T141" s="1"/>
      <c r="U141" s="1"/>
      <c r="V141" s="1"/>
      <c r="W141" s="1"/>
      <c r="X141" s="1"/>
      <c r="Y141" s="1"/>
      <c r="Z141" s="1"/>
      <c r="AA141" s="1"/>
      <c r="AB141" s="1"/>
      <c r="AC141" s="1"/>
      <c r="AD141" s="1"/>
      <c r="AE141" s="1"/>
    </row>
    <row r="142" customFormat="false" ht="36" hidden="false" customHeight="true" outlineLevel="0" collapsed="false">
      <c r="A142" s="13" t="s">
        <v>853</v>
      </c>
      <c r="B142" s="14" t="s">
        <v>854</v>
      </c>
      <c r="C142" s="98" t="s">
        <v>57</v>
      </c>
      <c r="D142" s="99" t="str">
        <f aca="false">IFERROR(INDEX(値リスト!$A$3:$A$9,MATCH(C142,値リスト!$B$3:$B$9,0)),"")</f>
        <v>processed</v>
      </c>
      <c r="E142" s="100" t="s">
        <v>72</v>
      </c>
      <c r="F142" s="101" t="str">
        <f aca="false">IFERROR(INDEX(値リスト!$A$14:$A$24,MATCH(E142,値リスト!$B$14:$B$24,0)),"")</f>
        <v>healing</v>
      </c>
      <c r="G142" s="100" t="s">
        <v>150</v>
      </c>
      <c r="H142" s="101" t="str">
        <f aca="false">IFERROR(INDEX(値リスト!$A$27:$A$33,MATCH(G142,値リスト!$B$27:$B$33,0)),"")</f>
        <v>permeate</v>
      </c>
      <c r="I142" s="12" t="s">
        <v>855</v>
      </c>
      <c r="J142" s="102" t="s">
        <v>752</v>
      </c>
      <c r="K142" s="12" t="s">
        <v>580</v>
      </c>
      <c r="L142" s="1" t="n">
        <v>480</v>
      </c>
      <c r="M142" s="97" t="s">
        <v>731</v>
      </c>
      <c r="O142" s="97" t="s">
        <v>608</v>
      </c>
      <c r="P142" s="1"/>
      <c r="Q142" s="1"/>
      <c r="R142" s="1"/>
      <c r="S142" s="1"/>
      <c r="T142" s="1"/>
      <c r="U142" s="1"/>
      <c r="V142" s="1"/>
      <c r="W142" s="1"/>
      <c r="X142" s="1"/>
      <c r="Y142" s="1"/>
      <c r="Z142" s="1"/>
      <c r="AA142" s="1"/>
      <c r="AB142" s="1"/>
      <c r="AC142" s="1"/>
      <c r="AD142" s="1"/>
      <c r="AE142" s="1"/>
    </row>
    <row r="143" customFormat="false" ht="36" hidden="false" customHeight="true" outlineLevel="0" collapsed="false">
      <c r="A143" s="13" t="s">
        <v>856</v>
      </c>
      <c r="B143" s="14" t="s">
        <v>857</v>
      </c>
      <c r="C143" s="98" t="s">
        <v>57</v>
      </c>
      <c r="D143" s="99" t="str">
        <f aca="false">IFERROR(INDEX(値リスト!$A$3:$A$9,MATCH(C143,値リスト!$B$3:$B$9,0)),"")</f>
        <v>processed</v>
      </c>
      <c r="E143" s="100" t="s">
        <v>77</v>
      </c>
      <c r="F143" s="101" t="str">
        <f aca="false">IFERROR(INDEX(値リスト!$A$14:$A$24,MATCH(E143,値リスト!$B$14:$B$24,0)),"")</f>
        <v>detox</v>
      </c>
      <c r="G143" s="100" t="s">
        <v>156</v>
      </c>
      <c r="H143" s="101" t="str">
        <f aca="false">IFERROR(INDEX(値リスト!$A$27:$A$33,MATCH(G143,値リスト!$B$27:$B$33,0)),"")</f>
        <v>neutralize</v>
      </c>
      <c r="I143" s="12" t="s">
        <v>858</v>
      </c>
      <c r="J143" s="102" t="s">
        <v>752</v>
      </c>
      <c r="K143" s="12" t="s">
        <v>580</v>
      </c>
      <c r="L143" s="1" t="n">
        <v>300</v>
      </c>
      <c r="M143" s="97" t="s">
        <v>731</v>
      </c>
      <c r="O143" s="97" t="s">
        <v>608</v>
      </c>
      <c r="P143" s="1"/>
      <c r="Q143" s="1"/>
      <c r="R143" s="1"/>
      <c r="S143" s="1"/>
      <c r="T143" s="1"/>
      <c r="U143" s="1"/>
      <c r="V143" s="1"/>
      <c r="W143" s="1"/>
      <c r="X143" s="1"/>
      <c r="Y143" s="1"/>
      <c r="Z143" s="1"/>
      <c r="AA143" s="1"/>
      <c r="AB143" s="1"/>
      <c r="AC143" s="1"/>
      <c r="AD143" s="1"/>
      <c r="AE143" s="1"/>
    </row>
    <row r="144" customFormat="false" ht="36" hidden="false" customHeight="true" outlineLevel="0" collapsed="false">
      <c r="A144" s="13" t="s">
        <v>859</v>
      </c>
      <c r="B144" s="14" t="s">
        <v>860</v>
      </c>
      <c r="C144" s="98" t="s">
        <v>57</v>
      </c>
      <c r="D144" s="99" t="str">
        <f aca="false">IFERROR(INDEX(値リスト!$A$3:$A$9,MATCH(C144,値リスト!$B$3:$B$9,0)),"")</f>
        <v>processed</v>
      </c>
      <c r="E144" s="100" t="s">
        <v>92</v>
      </c>
      <c r="F144" s="101" t="str">
        <f aca="false">IFERROR(INDEX(値リスト!$A$14:$A$24,MATCH(E144,値リスト!$B$14:$B$24,0)),"")</f>
        <v>sedation</v>
      </c>
      <c r="G144" s="100" t="s">
        <v>147</v>
      </c>
      <c r="H144" s="101" t="str">
        <f aca="false">IFERROR(INDEX(値リスト!$A$27:$A$33,MATCH(G144,値リスト!$B$27:$B$33,0)),"")</f>
        <v>volatile</v>
      </c>
      <c r="I144" s="12" t="s">
        <v>861</v>
      </c>
      <c r="J144" s="102" t="s">
        <v>752</v>
      </c>
      <c r="K144" s="12" t="s">
        <v>580</v>
      </c>
      <c r="L144" s="1" t="n">
        <v>320</v>
      </c>
      <c r="M144" s="97" t="s">
        <v>731</v>
      </c>
      <c r="O144" s="97" t="s">
        <v>608</v>
      </c>
      <c r="P144" s="1"/>
      <c r="Q144" s="1"/>
      <c r="R144" s="1"/>
      <c r="S144" s="1"/>
      <c r="T144" s="1"/>
      <c r="U144" s="1"/>
      <c r="V144" s="1"/>
      <c r="W144" s="1"/>
      <c r="X144" s="1"/>
      <c r="Y144" s="1"/>
      <c r="Z144" s="1"/>
      <c r="AA144" s="1"/>
      <c r="AB144" s="1"/>
      <c r="AC144" s="1"/>
      <c r="AD144" s="1"/>
      <c r="AE144" s="1"/>
    </row>
    <row r="145" customFormat="false" ht="36" hidden="false" customHeight="true" outlineLevel="0" collapsed="false">
      <c r="A145" s="13" t="s">
        <v>862</v>
      </c>
      <c r="B145" s="14" t="s">
        <v>863</v>
      </c>
      <c r="C145" s="98" t="s">
        <v>57</v>
      </c>
      <c r="D145" s="99" t="str">
        <f aca="false">IFERROR(INDEX(値リスト!$A$3:$A$9,MATCH(C145,値リスト!$B$3:$B$9,0)),"")</f>
        <v>processed</v>
      </c>
      <c r="E145" s="100" t="s">
        <v>72</v>
      </c>
      <c r="F145" s="101" t="str">
        <f aca="false">IFERROR(INDEX(値リスト!$A$14:$A$24,MATCH(E145,値リスト!$B$14:$B$24,0)),"")</f>
        <v>healing</v>
      </c>
      <c r="G145" s="100" t="s">
        <v>133</v>
      </c>
      <c r="H145" s="101" t="str">
        <f aca="false">IFERROR(INDEX(値リスト!$A$27:$A$33,MATCH(G145,値リスト!$B$27:$B$33,0)),"")</f>
        <v>coagulate</v>
      </c>
      <c r="I145" s="12" t="s">
        <v>864</v>
      </c>
      <c r="J145" s="102" t="s">
        <v>752</v>
      </c>
      <c r="K145" s="12" t="s">
        <v>580</v>
      </c>
      <c r="L145" s="1" t="n">
        <v>265</v>
      </c>
      <c r="M145" s="97" t="s">
        <v>731</v>
      </c>
      <c r="O145" s="97" t="s">
        <v>608</v>
      </c>
      <c r="P145" s="1"/>
      <c r="Q145" s="1"/>
      <c r="R145" s="1"/>
      <c r="S145" s="1"/>
      <c r="T145" s="1"/>
      <c r="U145" s="1"/>
      <c r="V145" s="1"/>
      <c r="W145" s="1"/>
      <c r="X145" s="1"/>
      <c r="Y145" s="1"/>
      <c r="Z145" s="1"/>
      <c r="AA145" s="1"/>
      <c r="AB145" s="1"/>
      <c r="AC145" s="1"/>
      <c r="AD145" s="1"/>
      <c r="AE145" s="1"/>
    </row>
    <row r="146" customFormat="false" ht="36" hidden="false" customHeight="true" outlineLevel="0" collapsed="false">
      <c r="A146" s="13" t="s">
        <v>865</v>
      </c>
      <c r="B146" s="14" t="s">
        <v>866</v>
      </c>
      <c r="C146" s="98" t="s">
        <v>57</v>
      </c>
      <c r="D146" s="99" t="str">
        <f aca="false">IFERROR(INDEX(値リスト!$A$3:$A$9,MATCH(C146,値リスト!$B$3:$B$9,0)),"")</f>
        <v>processed</v>
      </c>
      <c r="E146" s="100" t="s">
        <v>120</v>
      </c>
      <c r="F146" s="101" t="str">
        <f aca="false">IFERROR(INDEX(値リスト!$A$14:$A$24,MATCH(E146,値リスト!$B$14:$B$24,0)),"")</f>
        <v>poison</v>
      </c>
      <c r="G146" s="100" t="s">
        <v>133</v>
      </c>
      <c r="H146" s="101" t="str">
        <f aca="false">IFERROR(INDEX(値リスト!$A$27:$A$33,MATCH(G146,値リスト!$B$27:$B$33,0)),"")</f>
        <v>coagulate</v>
      </c>
      <c r="I146" s="12" t="s">
        <v>867</v>
      </c>
      <c r="J146" s="102" t="s">
        <v>752</v>
      </c>
      <c r="K146" s="12" t="s">
        <v>580</v>
      </c>
      <c r="L146" s="1" t="n">
        <v>450</v>
      </c>
      <c r="M146" s="97" t="s">
        <v>771</v>
      </c>
      <c r="O146" s="97" t="s">
        <v>608</v>
      </c>
      <c r="P146" s="1"/>
      <c r="Q146" s="1"/>
      <c r="R146" s="1"/>
      <c r="S146" s="1"/>
      <c r="T146" s="1"/>
      <c r="U146" s="1"/>
      <c r="V146" s="1"/>
      <c r="W146" s="1"/>
      <c r="X146" s="1"/>
      <c r="Y146" s="1"/>
      <c r="Z146" s="1"/>
      <c r="AA146" s="1"/>
      <c r="AB146" s="1"/>
      <c r="AC146" s="1"/>
      <c r="AD146" s="1"/>
      <c r="AE146" s="1"/>
    </row>
    <row r="147" customFormat="false" ht="36" hidden="false" customHeight="true" outlineLevel="0" collapsed="false">
      <c r="A147" s="13" t="s">
        <v>868</v>
      </c>
      <c r="B147" s="14" t="s">
        <v>869</v>
      </c>
      <c r="C147" s="98" t="s">
        <v>57</v>
      </c>
      <c r="D147" s="99" t="str">
        <f aca="false">IFERROR(INDEX(値リスト!$A$3:$A$9,MATCH(C147,値リスト!$B$3:$B$9,0)),"")</f>
        <v>processed</v>
      </c>
      <c r="E147" s="100" t="s">
        <v>116</v>
      </c>
      <c r="F147" s="101" t="str">
        <f aca="false">IFERROR(INDEX(値リスト!$A$14:$A$24,MATCH(E147,値リスト!$B$14:$B$24,0)),"")</f>
        <v>insulation</v>
      </c>
      <c r="G147" s="100" t="s">
        <v>133</v>
      </c>
      <c r="H147" s="101" t="str">
        <f aca="false">IFERROR(INDEX(値リスト!$A$27:$A$33,MATCH(G147,値リスト!$B$27:$B$33,0)),"")</f>
        <v>coagulate</v>
      </c>
      <c r="I147" s="12" t="s">
        <v>870</v>
      </c>
      <c r="J147" s="102" t="s">
        <v>752</v>
      </c>
      <c r="K147" s="12" t="s">
        <v>580</v>
      </c>
      <c r="L147" s="1" t="n">
        <v>290</v>
      </c>
      <c r="M147" s="97" t="s">
        <v>731</v>
      </c>
      <c r="O147" s="97" t="s">
        <v>608</v>
      </c>
      <c r="P147" s="1"/>
      <c r="Q147" s="1"/>
      <c r="R147" s="1"/>
      <c r="S147" s="1"/>
      <c r="T147" s="1"/>
      <c r="U147" s="1"/>
      <c r="V147" s="1"/>
      <c r="W147" s="1"/>
      <c r="X147" s="1"/>
      <c r="Y147" s="1"/>
      <c r="Z147" s="1"/>
      <c r="AA147" s="1"/>
      <c r="AB147" s="1"/>
      <c r="AC147" s="1"/>
      <c r="AD147" s="1"/>
      <c r="AE147" s="1"/>
    </row>
    <row r="148" customFormat="false" ht="36" hidden="false" customHeight="true" outlineLevel="0" collapsed="false">
      <c r="A148" s="13" t="s">
        <v>871</v>
      </c>
      <c r="B148" s="14" t="s">
        <v>872</v>
      </c>
      <c r="C148" s="98" t="s">
        <v>57</v>
      </c>
      <c r="D148" s="99" t="str">
        <f aca="false">IFERROR(INDEX(値リスト!$A$3:$A$9,MATCH(C148,値リスト!$B$3:$B$9,0)),"")</f>
        <v>processed</v>
      </c>
      <c r="E148" s="100" t="s">
        <v>72</v>
      </c>
      <c r="F148" s="101" t="str">
        <f aca="false">IFERROR(INDEX(値リスト!$A$14:$A$24,MATCH(E148,値リスト!$B$14:$B$24,0)),"")</f>
        <v>healing</v>
      </c>
      <c r="G148" s="100" t="s">
        <v>153</v>
      </c>
      <c r="H148" s="101" t="str">
        <f aca="false">IFERROR(INDEX(値リスト!$A$27:$A$33,MATCH(G148,値リスト!$B$27:$B$33,0)),"")</f>
        <v>catalyst</v>
      </c>
      <c r="I148" s="12" t="s">
        <v>873</v>
      </c>
      <c r="J148" s="102" t="s">
        <v>752</v>
      </c>
      <c r="K148" s="12" t="s">
        <v>580</v>
      </c>
      <c r="L148" s="1" t="n">
        <v>590</v>
      </c>
      <c r="M148" s="97" t="s">
        <v>731</v>
      </c>
      <c r="O148" s="97" t="s">
        <v>581</v>
      </c>
      <c r="P148" s="1"/>
      <c r="Q148" s="1"/>
      <c r="R148" s="1"/>
      <c r="S148" s="1"/>
      <c r="T148" s="1"/>
      <c r="U148" s="1"/>
      <c r="V148" s="1"/>
      <c r="W148" s="1"/>
      <c r="X148" s="1"/>
      <c r="Y148" s="1"/>
      <c r="Z148" s="1"/>
      <c r="AA148" s="1"/>
      <c r="AB148" s="1"/>
      <c r="AC148" s="1"/>
      <c r="AD148" s="1"/>
      <c r="AE148" s="1"/>
    </row>
    <row r="149" customFormat="false" ht="36" hidden="false" customHeight="true" outlineLevel="0" collapsed="false">
      <c r="A149" s="13" t="s">
        <v>874</v>
      </c>
      <c r="B149" s="14" t="s">
        <v>875</v>
      </c>
      <c r="C149" s="98" t="s">
        <v>57</v>
      </c>
      <c r="D149" s="99" t="str">
        <f aca="false">IFERROR(INDEX(値リスト!$A$3:$A$9,MATCH(C149,値リスト!$B$3:$B$9,0)),"")</f>
        <v>processed</v>
      </c>
      <c r="E149" s="100" t="s">
        <v>110</v>
      </c>
      <c r="F149" s="101" t="str">
        <f aca="false">IFERROR(INDEX(値リスト!$A$14:$A$24,MATCH(E149,値リスト!$B$14:$B$24,0)),"")</f>
        <v>mystic</v>
      </c>
      <c r="G149" s="100" t="s">
        <v>150</v>
      </c>
      <c r="H149" s="101" t="str">
        <f aca="false">IFERROR(INDEX(値リスト!$A$27:$A$33,MATCH(G149,値リスト!$B$27:$B$33,0)),"")</f>
        <v>permeate</v>
      </c>
      <c r="I149" s="12" t="s">
        <v>876</v>
      </c>
      <c r="J149" s="102" t="s">
        <v>752</v>
      </c>
      <c r="K149" s="12" t="s">
        <v>580</v>
      </c>
      <c r="L149" s="1" t="n">
        <v>480</v>
      </c>
      <c r="M149" s="97" t="s">
        <v>731</v>
      </c>
      <c r="O149" s="97" t="s">
        <v>581</v>
      </c>
      <c r="P149" s="1"/>
      <c r="Q149" s="1"/>
      <c r="R149" s="1"/>
      <c r="S149" s="1"/>
      <c r="T149" s="1"/>
      <c r="U149" s="1"/>
      <c r="V149" s="1"/>
      <c r="W149" s="1"/>
      <c r="X149" s="1"/>
      <c r="Y149" s="1"/>
      <c r="Z149" s="1"/>
      <c r="AA149" s="1"/>
      <c r="AB149" s="1"/>
      <c r="AC149" s="1"/>
      <c r="AD149" s="1"/>
      <c r="AE149" s="1"/>
    </row>
    <row r="150" customFormat="false" ht="36" hidden="false" customHeight="true" outlineLevel="0" collapsed="false">
      <c r="A150" s="13" t="s">
        <v>877</v>
      </c>
      <c r="B150" s="14" t="s">
        <v>878</v>
      </c>
      <c r="C150" s="98" t="s">
        <v>57</v>
      </c>
      <c r="D150" s="99" t="str">
        <f aca="false">IFERROR(INDEX(値リスト!$A$3:$A$9,MATCH(C150,値リスト!$B$3:$B$9,0)),"")</f>
        <v>processed</v>
      </c>
      <c r="E150" s="100" t="s">
        <v>86</v>
      </c>
      <c r="F150" s="101" t="str">
        <f aca="false">IFERROR(INDEX(値リスト!$A$14:$A$24,MATCH(E150,値リスト!$B$14:$B$24,0)),"")</f>
        <v>stimulation</v>
      </c>
      <c r="G150" s="100" t="s">
        <v>147</v>
      </c>
      <c r="H150" s="101" t="str">
        <f aca="false">IFERROR(INDEX(値リスト!$A$27:$A$33,MATCH(G150,値リスト!$B$27:$B$33,0)),"")</f>
        <v>volatile</v>
      </c>
      <c r="I150" s="12" t="s">
        <v>879</v>
      </c>
      <c r="J150" s="102" t="s">
        <v>752</v>
      </c>
      <c r="K150" s="12" t="s">
        <v>580</v>
      </c>
      <c r="L150" s="1" t="n">
        <v>210</v>
      </c>
      <c r="M150" s="97" t="s">
        <v>731</v>
      </c>
      <c r="O150" s="97" t="s">
        <v>608</v>
      </c>
      <c r="P150" s="1"/>
      <c r="Q150" s="1"/>
      <c r="R150" s="1"/>
      <c r="S150" s="1"/>
      <c r="T150" s="1"/>
      <c r="U150" s="1"/>
      <c r="V150" s="1"/>
      <c r="W150" s="1"/>
      <c r="X150" s="1"/>
      <c r="Y150" s="1"/>
      <c r="Z150" s="1"/>
      <c r="AA150" s="1"/>
      <c r="AB150" s="1"/>
      <c r="AC150" s="1"/>
      <c r="AD150" s="1"/>
      <c r="AE150" s="1"/>
    </row>
    <row r="151" customFormat="false" ht="36" hidden="false" customHeight="true" outlineLevel="0" collapsed="false">
      <c r="A151" s="13" t="s">
        <v>880</v>
      </c>
      <c r="B151" s="14" t="s">
        <v>881</v>
      </c>
      <c r="C151" s="98" t="s">
        <v>57</v>
      </c>
      <c r="D151" s="99" t="str">
        <f aca="false">IFERROR(INDEX(値リスト!$A$3:$A$9,MATCH(C151,値リスト!$B$3:$B$9,0)),"")</f>
        <v>processed</v>
      </c>
      <c r="E151" s="100" t="s">
        <v>98</v>
      </c>
      <c r="F151" s="101" t="str">
        <f aca="false">IFERROR(INDEX(値リスト!$A$14:$A$24,MATCH(E151,値リスト!$B$14:$B$24,0)),"")</f>
        <v>stable</v>
      </c>
      <c r="G151" s="100" t="s">
        <v>133</v>
      </c>
      <c r="H151" s="101" t="str">
        <f aca="false">IFERROR(INDEX(値リスト!$A$27:$A$33,MATCH(G151,値リスト!$B$27:$B$33,0)),"")</f>
        <v>coagulate</v>
      </c>
      <c r="I151" s="12" t="s">
        <v>882</v>
      </c>
      <c r="J151" s="102" t="s">
        <v>752</v>
      </c>
      <c r="K151" s="12" t="s">
        <v>580</v>
      </c>
      <c r="L151" s="1" t="n">
        <v>220</v>
      </c>
      <c r="M151" s="97" t="s">
        <v>731</v>
      </c>
      <c r="O151" s="97" t="s">
        <v>608</v>
      </c>
      <c r="P151" s="1"/>
      <c r="Q151" s="1"/>
      <c r="R151" s="1"/>
      <c r="S151" s="1"/>
      <c r="T151" s="1"/>
      <c r="U151" s="1"/>
      <c r="V151" s="1"/>
      <c r="W151" s="1"/>
      <c r="X151" s="1"/>
      <c r="Y151" s="1"/>
      <c r="Z151" s="1"/>
      <c r="AA151" s="1"/>
      <c r="AB151" s="1"/>
      <c r="AC151" s="1"/>
      <c r="AD151" s="1"/>
      <c r="AE151" s="1"/>
    </row>
    <row r="152" customFormat="false" ht="36" hidden="false" customHeight="true" outlineLevel="0" collapsed="false">
      <c r="A152" s="13" t="s">
        <v>883</v>
      </c>
      <c r="B152" s="14" t="s">
        <v>884</v>
      </c>
      <c r="C152" s="98" t="s">
        <v>57</v>
      </c>
      <c r="D152" s="99" t="str">
        <f aca="false">IFERROR(INDEX(値リスト!$A$3:$A$9,MATCH(C152,値リスト!$B$3:$B$9,0)),"")</f>
        <v>processed</v>
      </c>
      <c r="E152" s="100" t="s">
        <v>110</v>
      </c>
      <c r="F152" s="101" t="str">
        <f aca="false">IFERROR(INDEX(値リスト!$A$14:$A$24,MATCH(E152,値リスト!$B$14:$B$24,0)),"")</f>
        <v>mystic</v>
      </c>
      <c r="G152" s="100" t="s">
        <v>153</v>
      </c>
      <c r="H152" s="101" t="str">
        <f aca="false">IFERROR(INDEX(値リスト!$A$27:$A$33,MATCH(G152,値リスト!$B$27:$B$33,0)),"")</f>
        <v>catalyst</v>
      </c>
      <c r="I152" s="12" t="s">
        <v>885</v>
      </c>
      <c r="J152" s="102" t="s">
        <v>752</v>
      </c>
      <c r="K152" s="12" t="s">
        <v>580</v>
      </c>
      <c r="L152" s="1" t="n">
        <v>875</v>
      </c>
      <c r="M152" s="97" t="s">
        <v>731</v>
      </c>
      <c r="O152" s="97" t="s">
        <v>581</v>
      </c>
      <c r="P152" s="1"/>
      <c r="Q152" s="1"/>
      <c r="R152" s="1"/>
      <c r="S152" s="1"/>
      <c r="T152" s="1"/>
      <c r="U152" s="1"/>
      <c r="V152" s="1"/>
      <c r="W152" s="1"/>
      <c r="X152" s="1"/>
      <c r="Y152" s="1"/>
      <c r="Z152" s="1"/>
      <c r="AA152" s="1"/>
      <c r="AB152" s="1"/>
      <c r="AC152" s="1"/>
      <c r="AD152" s="1"/>
      <c r="AE152" s="1"/>
    </row>
    <row r="153" customFormat="false" ht="36" hidden="false" customHeight="true" outlineLevel="0" collapsed="false">
      <c r="A153" s="13" t="s">
        <v>886</v>
      </c>
      <c r="B153" s="14" t="s">
        <v>887</v>
      </c>
      <c r="C153" s="98" t="s">
        <v>57</v>
      </c>
      <c r="D153" s="99" t="str">
        <f aca="false">IFERROR(INDEX(値リスト!$A$3:$A$9,MATCH(C153,値リスト!$B$3:$B$9,0)),"")</f>
        <v>processed</v>
      </c>
      <c r="E153" s="100" t="s">
        <v>98</v>
      </c>
      <c r="F153" s="101" t="str">
        <f aca="false">IFERROR(INDEX(値リスト!$A$14:$A$24,MATCH(E153,値リスト!$B$14:$B$24,0)),"")</f>
        <v>stable</v>
      </c>
      <c r="G153" s="100" t="s">
        <v>153</v>
      </c>
      <c r="H153" s="101" t="str">
        <f aca="false">IFERROR(INDEX(値リスト!$A$27:$A$33,MATCH(G153,値リスト!$B$27:$B$33,0)),"")</f>
        <v>catalyst</v>
      </c>
      <c r="I153" s="12" t="s">
        <v>888</v>
      </c>
      <c r="J153" s="102" t="s">
        <v>752</v>
      </c>
      <c r="K153" s="12" t="s">
        <v>580</v>
      </c>
      <c r="L153" s="1" t="n">
        <v>660</v>
      </c>
      <c r="M153" s="97" t="s">
        <v>889</v>
      </c>
      <c r="O153" s="97" t="s">
        <v>581</v>
      </c>
      <c r="P153" s="1"/>
      <c r="Q153" s="1"/>
      <c r="R153" s="1"/>
      <c r="S153" s="1"/>
      <c r="T153" s="1"/>
      <c r="U153" s="1"/>
      <c r="V153" s="1"/>
      <c r="W153" s="1"/>
      <c r="X153" s="1"/>
      <c r="Y153" s="1"/>
      <c r="Z153" s="1"/>
      <c r="AA153" s="1"/>
      <c r="AB153" s="1"/>
      <c r="AC153" s="1"/>
      <c r="AD153" s="1"/>
      <c r="AE153" s="1"/>
    </row>
    <row r="154" customFormat="false" ht="36" hidden="false" customHeight="true" outlineLevel="0" collapsed="false">
      <c r="A154" s="13" t="s">
        <v>890</v>
      </c>
      <c r="B154" s="14" t="s">
        <v>891</v>
      </c>
      <c r="C154" s="98" t="s">
        <v>57</v>
      </c>
      <c r="D154" s="99" t="str">
        <f aca="false">IFERROR(INDEX(値リスト!$A$3:$A$9,MATCH(C154,値リスト!$B$3:$B$9,0)),"")</f>
        <v>processed</v>
      </c>
      <c r="E154" s="100" t="s">
        <v>120</v>
      </c>
      <c r="F154" s="101" t="str">
        <f aca="false">IFERROR(INDEX(値リスト!$A$14:$A$24,MATCH(E154,値リスト!$B$14:$B$24,0)),"")</f>
        <v>poison</v>
      </c>
      <c r="G154" s="100" t="s">
        <v>153</v>
      </c>
      <c r="H154" s="101" t="str">
        <f aca="false">IFERROR(INDEX(値リスト!$A$27:$A$33,MATCH(G154,値リスト!$B$27:$B$33,0)),"")</f>
        <v>catalyst</v>
      </c>
      <c r="I154" s="12" t="s">
        <v>892</v>
      </c>
      <c r="J154" s="102" t="s">
        <v>752</v>
      </c>
      <c r="K154" s="12" t="s">
        <v>580</v>
      </c>
      <c r="L154" s="1" t="n">
        <v>405</v>
      </c>
      <c r="M154" s="97" t="s">
        <v>889</v>
      </c>
      <c r="O154" s="97" t="s">
        <v>581</v>
      </c>
      <c r="P154" s="1"/>
      <c r="Q154" s="1"/>
      <c r="R154" s="1"/>
      <c r="S154" s="1"/>
      <c r="T154" s="1"/>
      <c r="U154" s="1"/>
      <c r="V154" s="1"/>
      <c r="W154" s="1"/>
      <c r="X154" s="1"/>
      <c r="Y154" s="1"/>
      <c r="Z154" s="1"/>
      <c r="AA154" s="1"/>
      <c r="AB154" s="1"/>
      <c r="AC154" s="1"/>
      <c r="AD154" s="1"/>
      <c r="AE154" s="1"/>
    </row>
    <row r="155" customFormat="false" ht="36" hidden="false" customHeight="true" outlineLevel="0" collapsed="false">
      <c r="A155" s="13" t="s">
        <v>893</v>
      </c>
      <c r="B155" s="14" t="s">
        <v>894</v>
      </c>
      <c r="C155" s="98" t="s">
        <v>57</v>
      </c>
      <c r="D155" s="99" t="str">
        <f aca="false">IFERROR(INDEX(値リスト!$A$3:$A$9,MATCH(C155,値リスト!$B$3:$B$9,0)),"")</f>
        <v>processed</v>
      </c>
      <c r="E155" s="100" t="s">
        <v>72</v>
      </c>
      <c r="F155" s="101" t="str">
        <f aca="false">IFERROR(INDEX(値リスト!$A$14:$A$24,MATCH(E155,値リスト!$B$14:$B$24,0)),"")</f>
        <v>healing</v>
      </c>
      <c r="G155" s="100" t="s">
        <v>153</v>
      </c>
      <c r="H155" s="101" t="str">
        <f aca="false">IFERROR(INDEX(値リスト!$A$27:$A$33,MATCH(G155,値リスト!$B$27:$B$33,0)),"")</f>
        <v>catalyst</v>
      </c>
      <c r="I155" s="12" t="s">
        <v>895</v>
      </c>
      <c r="J155" s="102" t="s">
        <v>752</v>
      </c>
      <c r="K155" s="12" t="s">
        <v>580</v>
      </c>
      <c r="L155" s="1" t="n">
        <v>640</v>
      </c>
      <c r="M155" s="97" t="s">
        <v>731</v>
      </c>
      <c r="O155" s="97" t="s">
        <v>581</v>
      </c>
      <c r="P155" s="1"/>
      <c r="Q155" s="1"/>
      <c r="R155" s="1"/>
      <c r="S155" s="1"/>
      <c r="T155" s="1"/>
      <c r="U155" s="1"/>
      <c r="V155" s="1"/>
      <c r="W155" s="1"/>
      <c r="X155" s="1"/>
      <c r="Y155" s="1"/>
      <c r="Z155" s="1"/>
      <c r="AA155" s="1"/>
      <c r="AB155" s="1"/>
      <c r="AC155" s="1"/>
      <c r="AD155" s="1"/>
      <c r="AE155" s="1"/>
    </row>
    <row r="156" customFormat="false" ht="36" hidden="false" customHeight="true" outlineLevel="0" collapsed="false">
      <c r="A156" s="13" t="s">
        <v>896</v>
      </c>
      <c r="B156" s="14" t="s">
        <v>897</v>
      </c>
      <c r="C156" s="98" t="s">
        <v>57</v>
      </c>
      <c r="D156" s="99" t="str">
        <f aca="false">IFERROR(INDEX(値リスト!$A$3:$A$9,MATCH(C156,値リスト!$B$3:$B$9,0)),"")</f>
        <v>processed</v>
      </c>
      <c r="E156" s="100" t="s">
        <v>80</v>
      </c>
      <c r="F156" s="101" t="str">
        <f aca="false">IFERROR(INDEX(値リスト!$A$14:$A$24,MATCH(E156,値リスト!$B$14:$B$24,0)),"")</f>
        <v>tonic</v>
      </c>
      <c r="G156" s="100" t="s">
        <v>153</v>
      </c>
      <c r="H156" s="101" t="str">
        <f aca="false">IFERROR(INDEX(値リスト!$A$27:$A$33,MATCH(G156,値リスト!$B$27:$B$33,0)),"")</f>
        <v>catalyst</v>
      </c>
      <c r="I156" s="12" t="s">
        <v>898</v>
      </c>
      <c r="J156" s="102" t="s">
        <v>752</v>
      </c>
      <c r="K156" s="12" t="s">
        <v>580</v>
      </c>
      <c r="L156" s="1" t="n">
        <v>815</v>
      </c>
      <c r="M156" s="97" t="s">
        <v>731</v>
      </c>
      <c r="O156" s="97" t="s">
        <v>581</v>
      </c>
      <c r="P156" s="1"/>
      <c r="Q156" s="1"/>
      <c r="R156" s="1"/>
      <c r="S156" s="1"/>
      <c r="T156" s="1"/>
      <c r="U156" s="1"/>
      <c r="V156" s="1"/>
      <c r="W156" s="1"/>
      <c r="X156" s="1"/>
      <c r="Y156" s="1"/>
      <c r="Z156" s="1"/>
      <c r="AA156" s="1"/>
      <c r="AB156" s="1"/>
      <c r="AC156" s="1"/>
      <c r="AD156" s="1"/>
      <c r="AE156" s="1"/>
    </row>
    <row r="157" customFormat="false" ht="36" hidden="false" customHeight="true" outlineLevel="0" collapsed="false">
      <c r="A157" s="13" t="s">
        <v>899</v>
      </c>
      <c r="B157" s="14" t="s">
        <v>900</v>
      </c>
      <c r="C157" s="98" t="s">
        <v>57</v>
      </c>
      <c r="D157" s="99" t="str">
        <f aca="false">IFERROR(INDEX(値リスト!$A$3:$A$9,MATCH(C157,値リスト!$B$3:$B$9,0)),"")</f>
        <v>processed</v>
      </c>
      <c r="E157" s="100" t="s">
        <v>120</v>
      </c>
      <c r="F157" s="101" t="str">
        <f aca="false">IFERROR(INDEX(値リスト!$A$14:$A$24,MATCH(E157,値リスト!$B$14:$B$24,0)),"")</f>
        <v>poison</v>
      </c>
      <c r="G157" s="100" t="s">
        <v>133</v>
      </c>
      <c r="H157" s="101" t="str">
        <f aca="false">IFERROR(INDEX(値リスト!$A$27:$A$33,MATCH(G157,値リスト!$B$27:$B$33,0)),"")</f>
        <v>coagulate</v>
      </c>
      <c r="I157" s="12" t="s">
        <v>901</v>
      </c>
      <c r="J157" s="102" t="s">
        <v>752</v>
      </c>
      <c r="K157" s="12" t="s">
        <v>580</v>
      </c>
      <c r="L157" s="1" t="n">
        <v>720</v>
      </c>
      <c r="M157" s="97" t="s">
        <v>771</v>
      </c>
      <c r="O157" s="97" t="s">
        <v>608</v>
      </c>
      <c r="P157" s="1"/>
      <c r="Q157" s="1"/>
      <c r="R157" s="1"/>
      <c r="S157" s="1"/>
      <c r="T157" s="1"/>
      <c r="U157" s="1"/>
      <c r="V157" s="1"/>
      <c r="W157" s="1"/>
      <c r="X157" s="1"/>
      <c r="Y157" s="1"/>
      <c r="Z157" s="1"/>
      <c r="AA157" s="1"/>
      <c r="AB157" s="1"/>
      <c r="AC157" s="1"/>
      <c r="AD157" s="1"/>
      <c r="AE157" s="1"/>
    </row>
    <row r="158" customFormat="false" ht="36" hidden="false" customHeight="true" outlineLevel="0" collapsed="false">
      <c r="A158" s="13" t="s">
        <v>902</v>
      </c>
      <c r="B158" s="14" t="s">
        <v>903</v>
      </c>
      <c r="C158" s="98" t="s">
        <v>57</v>
      </c>
      <c r="D158" s="99" t="str">
        <f aca="false">IFERROR(INDEX(値リスト!$A$3:$A$9,MATCH(C158,値リスト!$B$3:$B$9,0)),"")</f>
        <v>processed</v>
      </c>
      <c r="E158" s="100" t="s">
        <v>110</v>
      </c>
      <c r="F158" s="101" t="str">
        <f aca="false">IFERROR(INDEX(値リスト!$A$14:$A$24,MATCH(E158,値リスト!$B$14:$B$24,0)),"")</f>
        <v>mystic</v>
      </c>
      <c r="G158" s="100" t="s">
        <v>147</v>
      </c>
      <c r="H158" s="101" t="str">
        <f aca="false">IFERROR(INDEX(値リスト!$A$27:$A$33,MATCH(G158,値リスト!$B$27:$B$33,0)),"")</f>
        <v>volatile</v>
      </c>
      <c r="I158" s="12" t="s">
        <v>904</v>
      </c>
      <c r="J158" s="102" t="s">
        <v>752</v>
      </c>
      <c r="K158" s="12" t="s">
        <v>580</v>
      </c>
      <c r="L158" s="1" t="n">
        <v>595</v>
      </c>
      <c r="M158" s="97" t="s">
        <v>731</v>
      </c>
      <c r="O158" s="97" t="s">
        <v>608</v>
      </c>
      <c r="P158" s="1"/>
      <c r="Q158" s="1"/>
      <c r="R158" s="1"/>
      <c r="S158" s="1"/>
      <c r="T158" s="1"/>
      <c r="U158" s="1"/>
      <c r="V158" s="1"/>
      <c r="W158" s="1"/>
      <c r="X158" s="1"/>
      <c r="Y158" s="1"/>
      <c r="Z158" s="1"/>
      <c r="AA158" s="1"/>
      <c r="AB158" s="1"/>
      <c r="AC158" s="1"/>
      <c r="AD158" s="1"/>
      <c r="AE158" s="1"/>
    </row>
    <row r="159" customFormat="false" ht="36" hidden="false" customHeight="true" outlineLevel="0" collapsed="false">
      <c r="A159" s="13" t="s">
        <v>905</v>
      </c>
      <c r="B159" s="14" t="s">
        <v>906</v>
      </c>
      <c r="C159" s="98" t="s">
        <v>57</v>
      </c>
      <c r="D159" s="99" t="str">
        <f aca="false">IFERROR(INDEX(値リスト!$A$3:$A$9,MATCH(C159,値リスト!$B$3:$B$9,0)),"")</f>
        <v>processed</v>
      </c>
      <c r="E159" s="100" t="s">
        <v>72</v>
      </c>
      <c r="F159" s="101" t="str">
        <f aca="false">IFERROR(INDEX(値リスト!$A$14:$A$24,MATCH(E159,値リスト!$B$14:$B$24,0)),"")</f>
        <v>healing</v>
      </c>
      <c r="G159" s="100" t="s">
        <v>153</v>
      </c>
      <c r="H159" s="101" t="str">
        <f aca="false">IFERROR(INDEX(値リスト!$A$27:$A$33,MATCH(G159,値リスト!$B$27:$B$33,0)),"")</f>
        <v>catalyst</v>
      </c>
      <c r="I159" s="12" t="s">
        <v>907</v>
      </c>
      <c r="J159" s="102" t="s">
        <v>752</v>
      </c>
      <c r="K159" s="12" t="s">
        <v>580</v>
      </c>
      <c r="L159" s="1" t="n">
        <v>1020</v>
      </c>
      <c r="M159" s="97" t="s">
        <v>731</v>
      </c>
      <c r="O159" s="97" t="s">
        <v>581</v>
      </c>
      <c r="P159" s="1"/>
      <c r="Q159" s="1"/>
      <c r="R159" s="1"/>
      <c r="S159" s="1"/>
      <c r="T159" s="1"/>
      <c r="U159" s="1"/>
      <c r="V159" s="1"/>
      <c r="W159" s="1"/>
      <c r="X159" s="1"/>
      <c r="Y159" s="1"/>
      <c r="Z159" s="1"/>
      <c r="AA159" s="1"/>
      <c r="AB159" s="1"/>
      <c r="AC159" s="1"/>
      <c r="AD159" s="1"/>
      <c r="AE159" s="1"/>
    </row>
    <row r="160" customFormat="false" ht="36" hidden="false" customHeight="true" outlineLevel="0" collapsed="false">
      <c r="A160" s="13" t="s">
        <v>908</v>
      </c>
      <c r="B160" s="14" t="s">
        <v>909</v>
      </c>
      <c r="C160" s="98" t="s">
        <v>57</v>
      </c>
      <c r="D160" s="99" t="str">
        <f aca="false">IFERROR(INDEX(値リスト!$A$3:$A$9,MATCH(C160,値リスト!$B$3:$B$9,0)),"")</f>
        <v>processed</v>
      </c>
      <c r="E160" s="100" t="s">
        <v>116</v>
      </c>
      <c r="F160" s="101" t="str">
        <f aca="false">IFERROR(INDEX(値リスト!$A$14:$A$24,MATCH(E160,値リスト!$B$14:$B$24,0)),"")</f>
        <v>insulation</v>
      </c>
      <c r="G160" s="100" t="s">
        <v>133</v>
      </c>
      <c r="H160" s="101" t="str">
        <f aca="false">IFERROR(INDEX(値リスト!$A$27:$A$33,MATCH(G160,値リスト!$B$27:$B$33,0)),"")</f>
        <v>coagulate</v>
      </c>
      <c r="I160" s="12" t="s">
        <v>910</v>
      </c>
      <c r="J160" s="102" t="s">
        <v>752</v>
      </c>
      <c r="K160" s="12" t="s">
        <v>580</v>
      </c>
      <c r="L160" s="1" t="n">
        <v>500</v>
      </c>
      <c r="M160" s="97" t="s">
        <v>731</v>
      </c>
      <c r="O160" s="97" t="s">
        <v>608</v>
      </c>
      <c r="P160" s="1"/>
      <c r="Q160" s="1"/>
      <c r="R160" s="1"/>
      <c r="S160" s="1"/>
      <c r="T160" s="1"/>
      <c r="U160" s="1"/>
      <c r="V160" s="1"/>
      <c r="W160" s="1"/>
      <c r="X160" s="1"/>
      <c r="Y160" s="1"/>
      <c r="Z160" s="1"/>
      <c r="AA160" s="1"/>
      <c r="AB160" s="1"/>
      <c r="AC160" s="1"/>
      <c r="AD160" s="1"/>
      <c r="AE160" s="1"/>
    </row>
    <row r="161" customFormat="false" ht="36" hidden="false" customHeight="true" outlineLevel="0" collapsed="false">
      <c r="A161" s="13" t="s">
        <v>911</v>
      </c>
      <c r="B161" s="14" t="s">
        <v>912</v>
      </c>
      <c r="C161" s="98" t="s">
        <v>57</v>
      </c>
      <c r="D161" s="99" t="str">
        <f aca="false">IFERROR(INDEX(値リスト!$A$3:$A$9,MATCH(C161,値リスト!$B$3:$B$9,0)),"")</f>
        <v>processed</v>
      </c>
      <c r="E161" s="100" t="s">
        <v>98</v>
      </c>
      <c r="F161" s="101" t="str">
        <f aca="false">IFERROR(INDEX(値リスト!$A$14:$A$24,MATCH(E161,値リスト!$B$14:$B$24,0)),"")</f>
        <v>stable</v>
      </c>
      <c r="G161" s="100" t="s">
        <v>63</v>
      </c>
      <c r="H161" s="101" t="str">
        <f aca="false">IFERROR(INDEX(値リスト!$A$27:$A$33,MATCH(G161,値リスト!$B$27:$B$33,0)),"")</f>
        <v>preserve</v>
      </c>
      <c r="I161" s="12" t="s">
        <v>913</v>
      </c>
      <c r="J161" s="102" t="s">
        <v>752</v>
      </c>
      <c r="K161" s="12" t="s">
        <v>580</v>
      </c>
      <c r="L161" s="1" t="n">
        <v>230</v>
      </c>
      <c r="M161" s="97" t="s">
        <v>771</v>
      </c>
      <c r="O161" s="97" t="s">
        <v>581</v>
      </c>
      <c r="P161" s="1"/>
      <c r="Q161" s="1"/>
      <c r="R161" s="1"/>
      <c r="S161" s="1"/>
      <c r="T161" s="1"/>
      <c r="U161" s="1"/>
      <c r="V161" s="1"/>
      <c r="W161" s="1"/>
      <c r="X161" s="1"/>
      <c r="Y161" s="1"/>
      <c r="Z161" s="1"/>
      <c r="AA161" s="1"/>
      <c r="AB161" s="1"/>
      <c r="AC161" s="1"/>
      <c r="AD161" s="1"/>
      <c r="AE161" s="1"/>
    </row>
    <row r="162" customFormat="false" ht="36" hidden="false" customHeight="true" outlineLevel="0" collapsed="false">
      <c r="A162" s="13" t="s">
        <v>914</v>
      </c>
      <c r="B162" s="14" t="s">
        <v>915</v>
      </c>
      <c r="C162" s="98" t="s">
        <v>57</v>
      </c>
      <c r="D162" s="99" t="str">
        <f aca="false">IFERROR(INDEX(値リスト!$A$3:$A$9,MATCH(C162,値リスト!$B$3:$B$9,0)),"")</f>
        <v>processed</v>
      </c>
      <c r="E162" s="100" t="s">
        <v>125</v>
      </c>
      <c r="F162" s="101" t="str">
        <f aca="false">IFERROR(INDEX(値リスト!$A$14:$A$24,MATCH(E162,値リスト!$B$14:$B$24,0)),"")</f>
        <v>none</v>
      </c>
      <c r="G162" s="100" t="s">
        <v>150</v>
      </c>
      <c r="H162" s="101" t="str">
        <f aca="false">IFERROR(INDEX(値リスト!$A$27:$A$33,MATCH(G162,値リスト!$B$27:$B$33,0)),"")</f>
        <v>permeate</v>
      </c>
      <c r="I162" s="12" t="s">
        <v>916</v>
      </c>
      <c r="J162" s="102" t="s">
        <v>752</v>
      </c>
      <c r="K162" s="12" t="s">
        <v>580</v>
      </c>
      <c r="L162" s="1" t="n">
        <v>60</v>
      </c>
      <c r="M162" s="97" t="s">
        <v>771</v>
      </c>
      <c r="O162" s="97" t="s">
        <v>581</v>
      </c>
      <c r="P162" s="1"/>
      <c r="Q162" s="1"/>
      <c r="R162" s="1"/>
      <c r="S162" s="1"/>
      <c r="T162" s="1"/>
      <c r="U162" s="1"/>
      <c r="V162" s="1"/>
      <c r="W162" s="1"/>
      <c r="X162" s="1"/>
      <c r="Y162" s="1"/>
      <c r="Z162" s="1"/>
      <c r="AA162" s="1"/>
      <c r="AB162" s="1"/>
      <c r="AC162" s="1"/>
      <c r="AD162" s="1"/>
      <c r="AE162" s="1"/>
    </row>
    <row r="163" customFormat="false" ht="36" hidden="false" customHeight="true" outlineLevel="0" collapsed="false">
      <c r="A163" s="13" t="s">
        <v>917</v>
      </c>
      <c r="B163" s="14" t="s">
        <v>918</v>
      </c>
      <c r="C163" s="98" t="s">
        <v>57</v>
      </c>
      <c r="D163" s="99" t="str">
        <f aca="false">IFERROR(INDEX(値リスト!$A$3:$A$9,MATCH(C163,値リスト!$B$3:$B$9,0)),"")</f>
        <v>processed</v>
      </c>
      <c r="E163" s="100" t="s">
        <v>125</v>
      </c>
      <c r="F163" s="101" t="str">
        <f aca="false">IFERROR(INDEX(値リスト!$A$14:$A$24,MATCH(E163,値リスト!$B$14:$B$24,0)),"")</f>
        <v>none</v>
      </c>
      <c r="G163" s="100" t="s">
        <v>133</v>
      </c>
      <c r="H163" s="101" t="str">
        <f aca="false">IFERROR(INDEX(値リスト!$A$27:$A$33,MATCH(G163,値リスト!$B$27:$B$33,0)),"")</f>
        <v>coagulate</v>
      </c>
      <c r="I163" s="12" t="s">
        <v>919</v>
      </c>
      <c r="J163" s="102" t="s">
        <v>752</v>
      </c>
      <c r="K163" s="12" t="s">
        <v>580</v>
      </c>
      <c r="L163" s="1" t="n">
        <v>120</v>
      </c>
      <c r="M163" s="97" t="s">
        <v>771</v>
      </c>
      <c r="O163" s="97" t="s">
        <v>581</v>
      </c>
      <c r="P163" s="1"/>
      <c r="Q163" s="1"/>
      <c r="R163" s="1"/>
      <c r="S163" s="1"/>
      <c r="T163" s="1"/>
      <c r="U163" s="1"/>
      <c r="V163" s="1"/>
      <c r="W163" s="1"/>
      <c r="X163" s="1"/>
      <c r="Y163" s="1"/>
      <c r="Z163" s="1"/>
      <c r="AA163" s="1"/>
      <c r="AB163" s="1"/>
      <c r="AC163" s="1"/>
      <c r="AD163" s="1"/>
      <c r="AE163" s="1"/>
    </row>
    <row r="164" customFormat="false" ht="36" hidden="false" customHeight="true" outlineLevel="0" collapsed="false">
      <c r="A164" s="13" t="s">
        <v>920</v>
      </c>
      <c r="B164" s="14" t="s">
        <v>921</v>
      </c>
      <c r="C164" s="98" t="s">
        <v>57</v>
      </c>
      <c r="D164" s="99" t="str">
        <f aca="false">IFERROR(INDEX(値リスト!$A$3:$A$9,MATCH(C164,値リスト!$B$3:$B$9,0)),"")</f>
        <v>processed</v>
      </c>
      <c r="E164" s="100" t="s">
        <v>125</v>
      </c>
      <c r="F164" s="101" t="str">
        <f aca="false">IFERROR(INDEX(値リスト!$A$14:$A$24,MATCH(E164,値リスト!$B$14:$B$24,0)),"")</f>
        <v>none</v>
      </c>
      <c r="G164" s="100" t="s">
        <v>147</v>
      </c>
      <c r="H164" s="101" t="str">
        <f aca="false">IFERROR(INDEX(値リスト!$A$27:$A$33,MATCH(G164,値リスト!$B$27:$B$33,0)),"")</f>
        <v>volatile</v>
      </c>
      <c r="I164" s="12" t="s">
        <v>922</v>
      </c>
      <c r="J164" s="102" t="s">
        <v>752</v>
      </c>
      <c r="K164" s="12" t="s">
        <v>580</v>
      </c>
      <c r="L164" s="1" t="n">
        <v>80</v>
      </c>
      <c r="M164" s="97" t="s">
        <v>771</v>
      </c>
      <c r="O164" s="97" t="s">
        <v>581</v>
      </c>
      <c r="P164" s="1"/>
      <c r="Q164" s="1"/>
      <c r="R164" s="1"/>
      <c r="S164" s="1"/>
      <c r="T164" s="1"/>
      <c r="U164" s="1"/>
      <c r="V164" s="1"/>
      <c r="W164" s="1"/>
      <c r="X164" s="1"/>
      <c r="Y164" s="1"/>
      <c r="Z164" s="1"/>
      <c r="AA164" s="1"/>
      <c r="AB164" s="1"/>
      <c r="AC164" s="1"/>
      <c r="AD164" s="1"/>
      <c r="AE164" s="1"/>
    </row>
    <row r="165" customFormat="false" ht="36" hidden="false" customHeight="true" outlineLevel="0" collapsed="false">
      <c r="A165" s="13" t="s">
        <v>923</v>
      </c>
      <c r="B165" s="14" t="s">
        <v>924</v>
      </c>
      <c r="C165" s="98" t="s">
        <v>57</v>
      </c>
      <c r="D165" s="99" t="str">
        <f aca="false">IFERROR(INDEX(値リスト!$A$3:$A$9,MATCH(C165,値リスト!$B$3:$B$9,0)),"")</f>
        <v>processed</v>
      </c>
      <c r="E165" s="100" t="s">
        <v>125</v>
      </c>
      <c r="F165" s="101" t="str">
        <f aca="false">IFERROR(INDEX(値リスト!$A$14:$A$24,MATCH(E165,値リスト!$B$14:$B$24,0)),"")</f>
        <v>none</v>
      </c>
      <c r="G165" s="100" t="s">
        <v>147</v>
      </c>
      <c r="H165" s="101" t="str">
        <f aca="false">IFERROR(INDEX(値リスト!$A$27:$A$33,MATCH(G165,値リスト!$B$27:$B$33,0)),"")</f>
        <v>volatile</v>
      </c>
      <c r="I165" s="12" t="s">
        <v>925</v>
      </c>
      <c r="J165" s="102" t="s">
        <v>752</v>
      </c>
      <c r="K165" s="12" t="s">
        <v>580</v>
      </c>
      <c r="L165" s="1" t="n">
        <v>115</v>
      </c>
      <c r="M165" s="97" t="s">
        <v>771</v>
      </c>
      <c r="O165" s="97" t="s">
        <v>608</v>
      </c>
      <c r="P165" s="1"/>
      <c r="Q165" s="1"/>
      <c r="R165" s="1"/>
      <c r="S165" s="1"/>
      <c r="T165" s="1"/>
      <c r="U165" s="1"/>
      <c r="V165" s="1"/>
      <c r="W165" s="1"/>
      <c r="X165" s="1"/>
      <c r="Y165" s="1"/>
      <c r="Z165" s="1"/>
      <c r="AA165" s="1"/>
      <c r="AB165" s="1"/>
      <c r="AC165" s="1"/>
      <c r="AD165" s="1"/>
      <c r="AE165" s="1"/>
    </row>
    <row r="166" customFormat="false" ht="36" hidden="false" customHeight="true" outlineLevel="0" collapsed="false">
      <c r="A166" s="13" t="s">
        <v>926</v>
      </c>
      <c r="B166" s="14" t="s">
        <v>927</v>
      </c>
      <c r="C166" s="98" t="s">
        <v>57</v>
      </c>
      <c r="D166" s="99" t="str">
        <f aca="false">IFERROR(INDEX(値リスト!$A$3:$A$9,MATCH(C166,値リスト!$B$3:$B$9,0)),"")</f>
        <v>processed</v>
      </c>
      <c r="E166" s="100" t="s">
        <v>86</v>
      </c>
      <c r="F166" s="101" t="str">
        <f aca="false">IFERROR(INDEX(値リスト!$A$14:$A$24,MATCH(E166,値リスト!$B$14:$B$24,0)),"")</f>
        <v>stimulation</v>
      </c>
      <c r="G166" s="100" t="s">
        <v>147</v>
      </c>
      <c r="H166" s="101" t="str">
        <f aca="false">IFERROR(INDEX(値リスト!$A$27:$A$33,MATCH(G166,値リスト!$B$27:$B$33,0)),"")</f>
        <v>volatile</v>
      </c>
      <c r="I166" s="12" t="s">
        <v>928</v>
      </c>
      <c r="J166" s="102" t="s">
        <v>752</v>
      </c>
      <c r="K166" s="12" t="s">
        <v>580</v>
      </c>
      <c r="L166" s="1" t="n">
        <v>35</v>
      </c>
      <c r="M166" s="97" t="s">
        <v>771</v>
      </c>
      <c r="O166" s="97" t="s">
        <v>617</v>
      </c>
      <c r="P166" s="1"/>
      <c r="Q166" s="1"/>
      <c r="R166" s="1"/>
      <c r="S166" s="1"/>
      <c r="T166" s="1"/>
      <c r="U166" s="1"/>
      <c r="V166" s="1"/>
      <c r="W166" s="1"/>
      <c r="X166" s="1"/>
      <c r="Y166" s="1"/>
      <c r="Z166" s="1"/>
      <c r="AA166" s="1"/>
      <c r="AB166" s="1"/>
      <c r="AC166" s="1"/>
      <c r="AD166" s="1"/>
      <c r="AE166" s="1"/>
    </row>
    <row r="167" customFormat="false" ht="36" hidden="false" customHeight="true" outlineLevel="0" collapsed="false">
      <c r="A167" s="13" t="s">
        <v>929</v>
      </c>
      <c r="B167" s="14" t="s">
        <v>930</v>
      </c>
      <c r="C167" s="98" t="s">
        <v>57</v>
      </c>
      <c r="D167" s="99" t="str">
        <f aca="false">IFERROR(INDEX(値リスト!$A$3:$A$9,MATCH(C167,値リスト!$B$3:$B$9,0)),"")</f>
        <v>processed</v>
      </c>
      <c r="E167" s="100" t="s">
        <v>125</v>
      </c>
      <c r="F167" s="101" t="str">
        <f aca="false">IFERROR(INDEX(値リスト!$A$14:$A$24,MATCH(E167,値リスト!$B$14:$B$24,0)),"")</f>
        <v>none</v>
      </c>
      <c r="G167" s="100" t="s">
        <v>133</v>
      </c>
      <c r="H167" s="101" t="str">
        <f aca="false">IFERROR(INDEX(値リスト!$A$27:$A$33,MATCH(G167,値リスト!$B$27:$B$33,0)),"")</f>
        <v>coagulate</v>
      </c>
      <c r="I167" s="12" t="s">
        <v>931</v>
      </c>
      <c r="J167" s="102" t="s">
        <v>752</v>
      </c>
      <c r="K167" s="12" t="s">
        <v>580</v>
      </c>
      <c r="L167" s="1" t="n">
        <v>105</v>
      </c>
      <c r="M167" s="97" t="s">
        <v>771</v>
      </c>
      <c r="O167" s="97" t="s">
        <v>581</v>
      </c>
      <c r="P167" s="1"/>
      <c r="Q167" s="1"/>
      <c r="R167" s="1"/>
      <c r="S167" s="1"/>
      <c r="T167" s="1"/>
      <c r="U167" s="1"/>
      <c r="V167" s="1"/>
      <c r="W167" s="1"/>
      <c r="X167" s="1"/>
      <c r="Y167" s="1"/>
      <c r="Z167" s="1"/>
      <c r="AA167" s="1"/>
      <c r="AB167" s="1"/>
      <c r="AC167" s="1"/>
      <c r="AD167" s="1"/>
      <c r="AE167" s="1"/>
    </row>
    <row r="168" customFormat="false" ht="36" hidden="false" customHeight="true" outlineLevel="0" collapsed="false">
      <c r="A168" s="13" t="s">
        <v>932</v>
      </c>
      <c r="B168" s="14" t="s">
        <v>933</v>
      </c>
      <c r="C168" s="98" t="s">
        <v>57</v>
      </c>
      <c r="D168" s="99" t="str">
        <f aca="false">IFERROR(INDEX(値リスト!$A$3:$A$9,MATCH(C168,値リスト!$B$3:$B$9,0)),"")</f>
        <v>processed</v>
      </c>
      <c r="E168" s="100" t="s">
        <v>125</v>
      </c>
      <c r="F168" s="101" t="str">
        <f aca="false">IFERROR(INDEX(値リスト!$A$14:$A$24,MATCH(E168,値リスト!$B$14:$B$24,0)),"")</f>
        <v>none</v>
      </c>
      <c r="G168" s="100" t="s">
        <v>63</v>
      </c>
      <c r="H168" s="101" t="str">
        <f aca="false">IFERROR(INDEX(値リスト!$A$27:$A$33,MATCH(G168,値リスト!$B$27:$B$33,0)),"")</f>
        <v>preserve</v>
      </c>
      <c r="I168" s="12" t="s">
        <v>934</v>
      </c>
      <c r="J168" s="102" t="s">
        <v>752</v>
      </c>
      <c r="K168" s="12" t="s">
        <v>580</v>
      </c>
      <c r="L168" s="1" t="n">
        <v>185</v>
      </c>
      <c r="M168" s="97" t="s">
        <v>771</v>
      </c>
      <c r="O168" s="97" t="s">
        <v>581</v>
      </c>
      <c r="P168" s="1"/>
      <c r="Q168" s="1"/>
      <c r="R168" s="1"/>
      <c r="S168" s="1"/>
      <c r="T168" s="1"/>
      <c r="U168" s="1"/>
      <c r="V168" s="1"/>
      <c r="W168" s="1"/>
      <c r="X168" s="1"/>
      <c r="Y168" s="1"/>
      <c r="Z168" s="1"/>
      <c r="AA168" s="1"/>
      <c r="AB168" s="1"/>
      <c r="AC168" s="1"/>
      <c r="AD168" s="1"/>
      <c r="AE168" s="1"/>
    </row>
    <row r="169" customFormat="false" ht="36" hidden="false" customHeight="true" outlineLevel="0" collapsed="false">
      <c r="A169" s="13" t="s">
        <v>935</v>
      </c>
      <c r="B169" s="14" t="s">
        <v>936</v>
      </c>
      <c r="C169" s="98" t="s">
        <v>57</v>
      </c>
      <c r="D169" s="99" t="str">
        <f aca="false">IFERROR(INDEX(値リスト!$A$3:$A$9,MATCH(C169,値リスト!$B$3:$B$9,0)),"")</f>
        <v>processed</v>
      </c>
      <c r="E169" s="100" t="s">
        <v>125</v>
      </c>
      <c r="F169" s="101" t="str">
        <f aca="false">IFERROR(INDEX(値リスト!$A$14:$A$24,MATCH(E169,値リスト!$B$14:$B$24,0)),"")</f>
        <v>none</v>
      </c>
      <c r="G169" s="100" t="s">
        <v>142</v>
      </c>
      <c r="H169" s="101" t="str">
        <f aca="false">IFERROR(INDEX(値リスト!$A$27:$A$33,MATCH(G169,値リスト!$B$27:$B$33,0)),"")</f>
        <v>separate</v>
      </c>
      <c r="I169" s="12" t="s">
        <v>937</v>
      </c>
      <c r="J169" s="102" t="s">
        <v>752</v>
      </c>
      <c r="K169" s="12" t="s">
        <v>580</v>
      </c>
      <c r="L169" s="1" t="n">
        <v>35</v>
      </c>
      <c r="M169" s="97" t="s">
        <v>771</v>
      </c>
      <c r="O169" s="97" t="s">
        <v>617</v>
      </c>
      <c r="P169" s="1"/>
      <c r="Q169" s="1"/>
      <c r="R169" s="1"/>
      <c r="S169" s="1"/>
      <c r="T169" s="1"/>
      <c r="U169" s="1"/>
      <c r="V169" s="1"/>
      <c r="W169" s="1"/>
      <c r="X169" s="1"/>
      <c r="Y169" s="1"/>
      <c r="Z169" s="1"/>
      <c r="AA169" s="1"/>
      <c r="AB169" s="1"/>
      <c r="AC169" s="1"/>
      <c r="AD169" s="1"/>
      <c r="AE169" s="1"/>
    </row>
    <row r="170" customFormat="false" ht="36" hidden="false" customHeight="true" outlineLevel="0" collapsed="false">
      <c r="A170" s="13" t="s">
        <v>938</v>
      </c>
      <c r="B170" s="14" t="s">
        <v>939</v>
      </c>
      <c r="C170" s="98" t="s">
        <v>57</v>
      </c>
      <c r="D170" s="99" t="str">
        <f aca="false">IFERROR(INDEX(値リスト!$A$3:$A$9,MATCH(C170,値リスト!$B$3:$B$9,0)),"")</f>
        <v>processed</v>
      </c>
      <c r="E170" s="100" t="s">
        <v>77</v>
      </c>
      <c r="F170" s="101" t="str">
        <f aca="false">IFERROR(INDEX(値リスト!$A$14:$A$24,MATCH(E170,値リスト!$B$14:$B$24,0)),"")</f>
        <v>detox</v>
      </c>
      <c r="G170" s="100" t="s">
        <v>150</v>
      </c>
      <c r="H170" s="101" t="str">
        <f aca="false">IFERROR(INDEX(値リスト!$A$27:$A$33,MATCH(G170,値リスト!$B$27:$B$33,0)),"")</f>
        <v>permeate</v>
      </c>
      <c r="I170" s="12" t="s">
        <v>940</v>
      </c>
      <c r="J170" s="102" t="s">
        <v>752</v>
      </c>
      <c r="K170" s="12" t="s">
        <v>580</v>
      </c>
      <c r="L170" s="1" t="n">
        <v>95</v>
      </c>
      <c r="M170" s="97" t="s">
        <v>731</v>
      </c>
      <c r="O170" s="97" t="s">
        <v>581</v>
      </c>
      <c r="P170" s="1"/>
      <c r="Q170" s="1"/>
      <c r="R170" s="1"/>
      <c r="S170" s="1"/>
      <c r="T170" s="1"/>
      <c r="U170" s="1"/>
      <c r="V170" s="1"/>
      <c r="W170" s="1"/>
      <c r="X170" s="1"/>
      <c r="Y170" s="1"/>
      <c r="Z170" s="1"/>
      <c r="AA170" s="1"/>
      <c r="AB170" s="1"/>
      <c r="AC170" s="1"/>
      <c r="AD170" s="1"/>
      <c r="AE170" s="1"/>
    </row>
    <row r="171" customFormat="false" ht="36" hidden="false" customHeight="true" outlineLevel="0" collapsed="false">
      <c r="A171" s="13" t="s">
        <v>941</v>
      </c>
      <c r="B171" s="14" t="s">
        <v>942</v>
      </c>
      <c r="C171" s="98" t="s">
        <v>57</v>
      </c>
      <c r="D171" s="99" t="str">
        <f aca="false">IFERROR(INDEX(値リスト!$A$3:$A$9,MATCH(C171,値リスト!$B$3:$B$9,0)),"")</f>
        <v>processed</v>
      </c>
      <c r="E171" s="100" t="s">
        <v>92</v>
      </c>
      <c r="F171" s="101" t="str">
        <f aca="false">IFERROR(INDEX(値リスト!$A$14:$A$24,MATCH(E171,値リスト!$B$14:$B$24,0)),"")</f>
        <v>sedation</v>
      </c>
      <c r="G171" s="100" t="s">
        <v>133</v>
      </c>
      <c r="H171" s="101" t="str">
        <f aca="false">IFERROR(INDEX(値リスト!$A$27:$A$33,MATCH(G171,値リスト!$B$27:$B$33,0)),"")</f>
        <v>coagulate</v>
      </c>
      <c r="I171" s="12" t="s">
        <v>943</v>
      </c>
      <c r="J171" s="102" t="s">
        <v>752</v>
      </c>
      <c r="K171" s="12" t="s">
        <v>580</v>
      </c>
      <c r="L171" s="1" t="n">
        <v>230</v>
      </c>
      <c r="M171" s="97" t="s">
        <v>731</v>
      </c>
      <c r="O171" s="97" t="s">
        <v>608</v>
      </c>
      <c r="P171" s="1"/>
      <c r="Q171" s="1"/>
      <c r="R171" s="1"/>
      <c r="S171" s="1"/>
      <c r="T171" s="1"/>
      <c r="U171" s="1"/>
      <c r="V171" s="1"/>
      <c r="W171" s="1"/>
      <c r="X171" s="1"/>
      <c r="Y171" s="1"/>
      <c r="Z171" s="1"/>
      <c r="AA171" s="1"/>
      <c r="AB171" s="1"/>
      <c r="AC171" s="1"/>
      <c r="AD171" s="1"/>
      <c r="AE171" s="1"/>
    </row>
    <row r="172" customFormat="false" ht="36" hidden="false" customHeight="true" outlineLevel="0" collapsed="false">
      <c r="A172" s="13" t="s">
        <v>944</v>
      </c>
      <c r="B172" s="14" t="s">
        <v>945</v>
      </c>
      <c r="C172" s="98" t="s">
        <v>57</v>
      </c>
      <c r="D172" s="99" t="str">
        <f aca="false">IFERROR(INDEX(値リスト!$A$3:$A$9,MATCH(C172,値リスト!$B$3:$B$9,0)),"")</f>
        <v>processed</v>
      </c>
      <c r="E172" s="100" t="s">
        <v>92</v>
      </c>
      <c r="F172" s="101" t="str">
        <f aca="false">IFERROR(INDEX(値リスト!$A$14:$A$24,MATCH(E172,値リスト!$B$14:$B$24,0)),"")</f>
        <v>sedation</v>
      </c>
      <c r="G172" s="100" t="s">
        <v>150</v>
      </c>
      <c r="H172" s="101" t="str">
        <f aca="false">IFERROR(INDEX(値リスト!$A$27:$A$33,MATCH(G172,値リスト!$B$27:$B$33,0)),"")</f>
        <v>permeate</v>
      </c>
      <c r="I172" s="12" t="s">
        <v>946</v>
      </c>
      <c r="J172" s="102" t="s">
        <v>752</v>
      </c>
      <c r="K172" s="12" t="s">
        <v>580</v>
      </c>
      <c r="L172" s="1" t="n">
        <v>150</v>
      </c>
      <c r="M172" s="97" t="s">
        <v>731</v>
      </c>
      <c r="O172" s="97" t="s">
        <v>581</v>
      </c>
      <c r="P172" s="1"/>
      <c r="Q172" s="1"/>
      <c r="R172" s="1"/>
      <c r="S172" s="1"/>
      <c r="T172" s="1"/>
      <c r="U172" s="1"/>
      <c r="V172" s="1"/>
      <c r="W172" s="1"/>
      <c r="X172" s="1"/>
      <c r="Y172" s="1"/>
      <c r="Z172" s="1"/>
      <c r="AA172" s="1"/>
      <c r="AB172" s="1"/>
      <c r="AC172" s="1"/>
      <c r="AD172" s="1"/>
      <c r="AE172" s="1"/>
    </row>
    <row r="173" customFormat="false" ht="36" hidden="false" customHeight="true" outlineLevel="0" collapsed="false">
      <c r="A173" s="13" t="s">
        <v>947</v>
      </c>
      <c r="B173" s="14" t="s">
        <v>948</v>
      </c>
      <c r="C173" s="98" t="s">
        <v>57</v>
      </c>
      <c r="D173" s="99" t="str">
        <f aca="false">IFERROR(INDEX(値リスト!$A$3:$A$9,MATCH(C173,値リスト!$B$3:$B$9,0)),"")</f>
        <v>processed</v>
      </c>
      <c r="E173" s="100" t="s">
        <v>86</v>
      </c>
      <c r="F173" s="101" t="str">
        <f aca="false">IFERROR(INDEX(値リスト!$A$14:$A$24,MATCH(E173,値リスト!$B$14:$B$24,0)),"")</f>
        <v>stimulation</v>
      </c>
      <c r="G173" s="100" t="s">
        <v>150</v>
      </c>
      <c r="H173" s="101" t="str">
        <f aca="false">IFERROR(INDEX(値リスト!$A$27:$A$33,MATCH(G173,値リスト!$B$27:$B$33,0)),"")</f>
        <v>permeate</v>
      </c>
      <c r="I173" s="12" t="s">
        <v>949</v>
      </c>
      <c r="J173" s="102" t="s">
        <v>752</v>
      </c>
      <c r="K173" s="12" t="s">
        <v>580</v>
      </c>
      <c r="L173" s="1" t="n">
        <v>95</v>
      </c>
      <c r="M173" s="97" t="s">
        <v>731</v>
      </c>
      <c r="O173" s="97" t="s">
        <v>581</v>
      </c>
      <c r="P173" s="1"/>
      <c r="Q173" s="1"/>
      <c r="R173" s="1"/>
      <c r="S173" s="1"/>
      <c r="T173" s="1"/>
      <c r="U173" s="1"/>
      <c r="V173" s="1"/>
      <c r="W173" s="1"/>
      <c r="X173" s="1"/>
      <c r="Y173" s="1"/>
      <c r="Z173" s="1"/>
      <c r="AA173" s="1"/>
      <c r="AB173" s="1"/>
      <c r="AC173" s="1"/>
      <c r="AD173" s="1"/>
      <c r="AE173" s="1"/>
    </row>
    <row r="174" customFormat="false" ht="36" hidden="false" customHeight="true" outlineLevel="0" collapsed="false">
      <c r="A174" s="13" t="s">
        <v>950</v>
      </c>
      <c r="B174" s="14" t="s">
        <v>951</v>
      </c>
      <c r="C174" s="98" t="s">
        <v>57</v>
      </c>
      <c r="D174" s="99" t="str">
        <f aca="false">IFERROR(INDEX(値リスト!$A$3:$A$9,MATCH(C174,値リスト!$B$3:$B$9,0)),"")</f>
        <v>processed</v>
      </c>
      <c r="E174" s="100" t="s">
        <v>77</v>
      </c>
      <c r="F174" s="101" t="str">
        <f aca="false">IFERROR(INDEX(値リスト!$A$14:$A$24,MATCH(E174,値リスト!$B$14:$B$24,0)),"")</f>
        <v>detox</v>
      </c>
      <c r="G174" s="100" t="s">
        <v>133</v>
      </c>
      <c r="H174" s="101" t="str">
        <f aca="false">IFERROR(INDEX(値リスト!$A$27:$A$33,MATCH(G174,値リスト!$B$27:$B$33,0)),"")</f>
        <v>coagulate</v>
      </c>
      <c r="I174" s="12" t="s">
        <v>952</v>
      </c>
      <c r="J174" s="102" t="s">
        <v>752</v>
      </c>
      <c r="K174" s="12" t="s">
        <v>580</v>
      </c>
      <c r="L174" s="1" t="n">
        <v>205</v>
      </c>
      <c r="M174" s="97" t="s">
        <v>731</v>
      </c>
      <c r="O174" s="97" t="s">
        <v>608</v>
      </c>
      <c r="P174" s="1"/>
      <c r="Q174" s="1"/>
      <c r="R174" s="1"/>
      <c r="S174" s="1"/>
      <c r="T174" s="1"/>
      <c r="U174" s="1"/>
      <c r="V174" s="1"/>
      <c r="W174" s="1"/>
      <c r="X174" s="1"/>
      <c r="Y174" s="1"/>
      <c r="Z174" s="1"/>
      <c r="AA174" s="1"/>
      <c r="AB174" s="1"/>
      <c r="AC174" s="1"/>
      <c r="AD174" s="1"/>
      <c r="AE174" s="1"/>
    </row>
    <row r="175" customFormat="false" ht="36" hidden="false" customHeight="true" outlineLevel="0" collapsed="false">
      <c r="A175" s="13" t="s">
        <v>953</v>
      </c>
      <c r="B175" s="14" t="s">
        <v>954</v>
      </c>
      <c r="C175" s="98" t="s">
        <v>57</v>
      </c>
      <c r="D175" s="99" t="str">
        <f aca="false">IFERROR(INDEX(値リスト!$A$3:$A$9,MATCH(C175,値リスト!$B$3:$B$9,0)),"")</f>
        <v>processed</v>
      </c>
      <c r="E175" s="100" t="s">
        <v>77</v>
      </c>
      <c r="F175" s="101" t="str">
        <f aca="false">IFERROR(INDEX(値リスト!$A$14:$A$24,MATCH(E175,値リスト!$B$14:$B$24,0)),"")</f>
        <v>detox</v>
      </c>
      <c r="G175" s="100" t="s">
        <v>147</v>
      </c>
      <c r="H175" s="101" t="str">
        <f aca="false">IFERROR(INDEX(値リスト!$A$27:$A$33,MATCH(G175,値リスト!$B$27:$B$33,0)),"")</f>
        <v>volatile</v>
      </c>
      <c r="I175" s="12" t="s">
        <v>955</v>
      </c>
      <c r="J175" s="102" t="s">
        <v>752</v>
      </c>
      <c r="K175" s="12" t="s">
        <v>580</v>
      </c>
      <c r="L175" s="1" t="n">
        <v>160</v>
      </c>
      <c r="M175" s="97" t="s">
        <v>731</v>
      </c>
      <c r="O175" s="97" t="s">
        <v>581</v>
      </c>
      <c r="P175" s="1"/>
      <c r="Q175" s="1"/>
      <c r="R175" s="1"/>
      <c r="S175" s="1"/>
      <c r="T175" s="1"/>
      <c r="U175" s="1"/>
      <c r="V175" s="1"/>
      <c r="W175" s="1"/>
      <c r="X175" s="1"/>
      <c r="Y175" s="1"/>
      <c r="Z175" s="1"/>
      <c r="AA175" s="1"/>
      <c r="AB175" s="1"/>
      <c r="AC175" s="1"/>
      <c r="AD175" s="1"/>
      <c r="AE175" s="1"/>
    </row>
    <row r="176" customFormat="false" ht="36" hidden="false" customHeight="true" outlineLevel="0" collapsed="false">
      <c r="A176" s="13" t="s">
        <v>956</v>
      </c>
      <c r="B176" s="14" t="s">
        <v>957</v>
      </c>
      <c r="C176" s="98" t="s">
        <v>57</v>
      </c>
      <c r="D176" s="99" t="str">
        <f aca="false">IFERROR(INDEX(値リスト!$A$3:$A$9,MATCH(C176,値リスト!$B$3:$B$9,0)),"")</f>
        <v>processed</v>
      </c>
      <c r="E176" s="100" t="s">
        <v>125</v>
      </c>
      <c r="F176" s="101" t="str">
        <f aca="false">IFERROR(INDEX(値リスト!$A$14:$A$24,MATCH(E176,値リスト!$B$14:$B$24,0)),"")</f>
        <v>none</v>
      </c>
      <c r="G176" s="100" t="s">
        <v>142</v>
      </c>
      <c r="H176" s="101" t="str">
        <f aca="false">IFERROR(INDEX(値リスト!$A$27:$A$33,MATCH(G176,値リスト!$B$27:$B$33,0)),"")</f>
        <v>separate</v>
      </c>
      <c r="I176" s="12" t="s">
        <v>958</v>
      </c>
      <c r="J176" s="102" t="s">
        <v>752</v>
      </c>
      <c r="K176" s="12" t="s">
        <v>580</v>
      </c>
      <c r="L176" s="1" t="n">
        <v>110</v>
      </c>
      <c r="M176" s="97" t="s">
        <v>771</v>
      </c>
      <c r="O176" s="97" t="s">
        <v>617</v>
      </c>
      <c r="P176" s="1"/>
      <c r="Q176" s="1"/>
      <c r="R176" s="1"/>
      <c r="S176" s="1"/>
      <c r="T176" s="1"/>
      <c r="U176" s="1"/>
      <c r="V176" s="1"/>
      <c r="W176" s="1"/>
      <c r="X176" s="1"/>
      <c r="Y176" s="1"/>
      <c r="Z176" s="1"/>
      <c r="AA176" s="1"/>
      <c r="AB176" s="1"/>
      <c r="AC176" s="1"/>
      <c r="AD176" s="1"/>
      <c r="AE176" s="1"/>
    </row>
    <row r="177" customFormat="false" ht="36" hidden="false" customHeight="true" outlineLevel="0" collapsed="false">
      <c r="A177" s="13" t="s">
        <v>959</v>
      </c>
      <c r="B177" s="14" t="s">
        <v>960</v>
      </c>
      <c r="C177" s="98" t="s">
        <v>57</v>
      </c>
      <c r="D177" s="99" t="str">
        <f aca="false">IFERROR(INDEX(値リスト!$A$3:$A$9,MATCH(C177,値リスト!$B$3:$B$9,0)),"")</f>
        <v>processed</v>
      </c>
      <c r="E177" s="100" t="s">
        <v>125</v>
      </c>
      <c r="F177" s="101" t="str">
        <f aca="false">IFERROR(INDEX(値リスト!$A$14:$A$24,MATCH(E177,値リスト!$B$14:$B$24,0)),"")</f>
        <v>none</v>
      </c>
      <c r="G177" s="100" t="s">
        <v>63</v>
      </c>
      <c r="H177" s="101" t="str">
        <f aca="false">IFERROR(INDEX(値リスト!$A$27:$A$33,MATCH(G177,値リスト!$B$27:$B$33,0)),"")</f>
        <v>preserve</v>
      </c>
      <c r="I177" s="12" t="s">
        <v>961</v>
      </c>
      <c r="J177" s="102" t="s">
        <v>752</v>
      </c>
      <c r="K177" s="12" t="s">
        <v>580</v>
      </c>
      <c r="L177" s="1" t="n">
        <v>45</v>
      </c>
      <c r="M177" s="97" t="s">
        <v>771</v>
      </c>
      <c r="O177" s="97" t="s">
        <v>608</v>
      </c>
      <c r="P177" s="1"/>
      <c r="Q177" s="1"/>
      <c r="R177" s="1"/>
      <c r="S177" s="1"/>
      <c r="T177" s="1"/>
      <c r="U177" s="1"/>
      <c r="V177" s="1"/>
      <c r="W177" s="1"/>
      <c r="X177" s="1"/>
      <c r="Y177" s="1"/>
      <c r="Z177" s="1"/>
      <c r="AA177" s="1"/>
      <c r="AB177" s="1"/>
      <c r="AC177" s="1"/>
      <c r="AD177" s="1"/>
      <c r="AE177" s="1"/>
    </row>
    <row r="178" customFormat="false" ht="36" hidden="false" customHeight="true" outlineLevel="0" collapsed="false">
      <c r="A178" s="13" t="s">
        <v>962</v>
      </c>
      <c r="B178" s="14" t="s">
        <v>963</v>
      </c>
      <c r="C178" s="98" t="s">
        <v>57</v>
      </c>
      <c r="D178" s="99" t="str">
        <f aca="false">IFERROR(INDEX(値リスト!$A$3:$A$9,MATCH(C178,値リスト!$B$3:$B$9,0)),"")</f>
        <v>processed</v>
      </c>
      <c r="E178" s="100" t="s">
        <v>80</v>
      </c>
      <c r="F178" s="101" t="str">
        <f aca="false">IFERROR(INDEX(値リスト!$A$14:$A$24,MATCH(E178,値リスト!$B$14:$B$24,0)),"")</f>
        <v>tonic</v>
      </c>
      <c r="G178" s="100" t="s">
        <v>63</v>
      </c>
      <c r="H178" s="101" t="str">
        <f aca="false">IFERROR(INDEX(値リスト!$A$27:$A$33,MATCH(G178,値リスト!$B$27:$B$33,0)),"")</f>
        <v>preserve</v>
      </c>
      <c r="I178" s="12" t="s">
        <v>964</v>
      </c>
      <c r="J178" s="102" t="s">
        <v>752</v>
      </c>
      <c r="K178" s="12" t="s">
        <v>580</v>
      </c>
      <c r="L178" s="1" t="n">
        <v>120</v>
      </c>
      <c r="M178" s="97" t="s">
        <v>731</v>
      </c>
      <c r="O178" s="97" t="s">
        <v>608</v>
      </c>
      <c r="P178" s="1"/>
      <c r="Q178" s="1"/>
      <c r="R178" s="1"/>
      <c r="S178" s="1"/>
      <c r="T178" s="1"/>
      <c r="U178" s="1"/>
      <c r="V178" s="1"/>
      <c r="W178" s="1"/>
      <c r="X178" s="1"/>
      <c r="Y178" s="1"/>
      <c r="Z178" s="1"/>
      <c r="AA178" s="1"/>
      <c r="AB178" s="1"/>
      <c r="AC178" s="1"/>
      <c r="AD178" s="1"/>
      <c r="AE178" s="1"/>
    </row>
    <row r="179" customFormat="false" ht="36" hidden="false" customHeight="true" outlineLevel="0" collapsed="false">
      <c r="A179" s="13" t="s">
        <v>965</v>
      </c>
      <c r="B179" s="14" t="s">
        <v>966</v>
      </c>
      <c r="C179" s="98" t="s">
        <v>57</v>
      </c>
      <c r="D179" s="99" t="str">
        <f aca="false">IFERROR(INDEX(値リスト!$A$3:$A$9,MATCH(C179,値リスト!$B$3:$B$9,0)),"")</f>
        <v>processed</v>
      </c>
      <c r="E179" s="100" t="s">
        <v>125</v>
      </c>
      <c r="F179" s="101" t="str">
        <f aca="false">IFERROR(INDEX(値リスト!$A$14:$A$24,MATCH(E179,値リスト!$B$14:$B$24,0)),"")</f>
        <v>none</v>
      </c>
      <c r="G179" s="100" t="s">
        <v>142</v>
      </c>
      <c r="H179" s="101" t="str">
        <f aca="false">IFERROR(INDEX(値リスト!$A$27:$A$33,MATCH(G179,値リスト!$B$27:$B$33,0)),"")</f>
        <v>separate</v>
      </c>
      <c r="I179" s="12" t="s">
        <v>967</v>
      </c>
      <c r="J179" s="102" t="s">
        <v>752</v>
      </c>
      <c r="K179" s="12" t="s">
        <v>580</v>
      </c>
      <c r="L179" s="1" t="n">
        <v>85</v>
      </c>
      <c r="M179" s="97" t="s">
        <v>771</v>
      </c>
      <c r="O179" s="97" t="s">
        <v>581</v>
      </c>
      <c r="P179" s="1"/>
      <c r="Q179" s="1"/>
      <c r="R179" s="1"/>
      <c r="S179" s="1"/>
      <c r="T179" s="1"/>
      <c r="U179" s="1"/>
      <c r="V179" s="1"/>
      <c r="W179" s="1"/>
      <c r="X179" s="1"/>
      <c r="Y179" s="1"/>
      <c r="Z179" s="1"/>
      <c r="AA179" s="1"/>
      <c r="AB179" s="1"/>
      <c r="AC179" s="1"/>
      <c r="AD179" s="1"/>
      <c r="AE179" s="1"/>
    </row>
    <row r="180" customFormat="false" ht="36" hidden="false" customHeight="true" outlineLevel="0" collapsed="false">
      <c r="A180" s="13" t="s">
        <v>968</v>
      </c>
      <c r="B180" s="14" t="s">
        <v>969</v>
      </c>
      <c r="C180" s="98" t="s">
        <v>57</v>
      </c>
      <c r="D180" s="99" t="str">
        <f aca="false">IFERROR(INDEX(値リスト!$A$3:$A$9,MATCH(C180,値リスト!$B$3:$B$9,0)),"")</f>
        <v>processed</v>
      </c>
      <c r="E180" s="100" t="s">
        <v>125</v>
      </c>
      <c r="F180" s="101" t="str">
        <f aca="false">IFERROR(INDEX(値リスト!$A$14:$A$24,MATCH(E180,値リスト!$B$14:$B$24,0)),"")</f>
        <v>none</v>
      </c>
      <c r="G180" s="100" t="s">
        <v>150</v>
      </c>
      <c r="H180" s="101" t="str">
        <f aca="false">IFERROR(INDEX(値リスト!$A$27:$A$33,MATCH(G180,値リスト!$B$27:$B$33,0)),"")</f>
        <v>permeate</v>
      </c>
      <c r="I180" s="12" t="s">
        <v>970</v>
      </c>
      <c r="J180" s="102" t="s">
        <v>752</v>
      </c>
      <c r="K180" s="12" t="s">
        <v>580</v>
      </c>
      <c r="L180" s="1" t="n">
        <v>90</v>
      </c>
      <c r="M180" s="97" t="s">
        <v>771</v>
      </c>
      <c r="O180" s="97" t="s">
        <v>608</v>
      </c>
      <c r="P180" s="1"/>
      <c r="Q180" s="1"/>
      <c r="R180" s="1"/>
      <c r="S180" s="1"/>
      <c r="T180" s="1"/>
      <c r="U180" s="1"/>
      <c r="V180" s="1"/>
      <c r="W180" s="1"/>
      <c r="X180" s="1"/>
      <c r="Y180" s="1"/>
      <c r="Z180" s="1"/>
      <c r="AA180" s="1"/>
      <c r="AB180" s="1"/>
      <c r="AC180" s="1"/>
      <c r="AD180" s="1"/>
      <c r="AE180" s="1"/>
    </row>
    <row r="181" customFormat="false" ht="36" hidden="false" customHeight="true" outlineLevel="0" collapsed="false">
      <c r="A181" s="13" t="s">
        <v>971</v>
      </c>
      <c r="B181" s="14" t="s">
        <v>972</v>
      </c>
      <c r="C181" s="98" t="s">
        <v>57</v>
      </c>
      <c r="D181" s="99" t="str">
        <f aca="false">IFERROR(INDEX(値リスト!$A$3:$A$9,MATCH(C181,値リスト!$B$3:$B$9,0)),"")</f>
        <v>processed</v>
      </c>
      <c r="E181" s="100" t="s">
        <v>92</v>
      </c>
      <c r="F181" s="101" t="str">
        <f aca="false">IFERROR(INDEX(値リスト!$A$14:$A$24,MATCH(E181,値リスト!$B$14:$B$24,0)),"")</f>
        <v>sedation</v>
      </c>
      <c r="G181" s="100" t="s">
        <v>63</v>
      </c>
      <c r="H181" s="101" t="str">
        <f aca="false">IFERROR(INDEX(値リスト!$A$27:$A$33,MATCH(G181,値リスト!$B$27:$B$33,0)),"")</f>
        <v>preserve</v>
      </c>
      <c r="I181" s="12" t="s">
        <v>973</v>
      </c>
      <c r="J181" s="102" t="s">
        <v>752</v>
      </c>
      <c r="K181" s="12" t="s">
        <v>580</v>
      </c>
      <c r="L181" s="1" t="n">
        <v>140</v>
      </c>
      <c r="M181" s="97" t="s">
        <v>771</v>
      </c>
      <c r="O181" s="97" t="s">
        <v>608</v>
      </c>
      <c r="P181" s="1"/>
      <c r="Q181" s="1"/>
      <c r="R181" s="1"/>
      <c r="S181" s="1"/>
      <c r="T181" s="1"/>
      <c r="U181" s="1"/>
      <c r="V181" s="1"/>
      <c r="W181" s="1"/>
      <c r="X181" s="1"/>
      <c r="Y181" s="1"/>
      <c r="Z181" s="1"/>
      <c r="AA181" s="1"/>
      <c r="AB181" s="1"/>
      <c r="AC181" s="1"/>
      <c r="AD181" s="1"/>
      <c r="AE181" s="1"/>
    </row>
    <row r="182" customFormat="false" ht="36" hidden="false" customHeight="true" outlineLevel="0" collapsed="false">
      <c r="A182" s="10" t="s">
        <v>974</v>
      </c>
      <c r="B182" s="11" t="s">
        <v>975</v>
      </c>
      <c r="C182" s="98" t="s">
        <v>49</v>
      </c>
      <c r="D182" s="99" t="str">
        <f aca="false">IFERROR(INDEX(値リスト!$A$3:$A$9,MATCH(C182,値リスト!$B$3:$B$9,0)),"")</f>
        <v>relics</v>
      </c>
      <c r="E182" s="100" t="s">
        <v>125</v>
      </c>
      <c r="F182" s="101" t="str">
        <f aca="false">IFERROR(INDEX(値リスト!$A$14:$A$24,MATCH(E182,値リスト!$B$14:$B$24,0)),"")</f>
        <v>none</v>
      </c>
      <c r="G182" s="100" t="s">
        <v>63</v>
      </c>
      <c r="H182" s="101" t="str">
        <f aca="false">IFERROR(INDEX(値リスト!$A$27:$A$33,MATCH(G182,値リスト!$B$27:$B$33,0)),"")</f>
        <v>preserve</v>
      </c>
      <c r="I182" s="12" t="s">
        <v>976</v>
      </c>
      <c r="J182" s="102" t="s">
        <v>977</v>
      </c>
      <c r="K182" s="12" t="s">
        <v>698</v>
      </c>
      <c r="L182" s="1" t="n">
        <v>25</v>
      </c>
      <c r="M182" s="97" t="s">
        <v>342</v>
      </c>
      <c r="N182" s="1" t="n">
        <v>0</v>
      </c>
      <c r="O182" s="97" t="s">
        <v>342</v>
      </c>
      <c r="P182" s="1"/>
      <c r="Q182" s="1"/>
      <c r="R182" s="1"/>
      <c r="S182" s="1"/>
      <c r="T182" s="1"/>
      <c r="U182" s="1"/>
      <c r="V182" s="1"/>
      <c r="W182" s="1"/>
      <c r="X182" s="1"/>
      <c r="Y182" s="1"/>
      <c r="Z182" s="1"/>
      <c r="AA182" s="1"/>
      <c r="AB182" s="1"/>
      <c r="AC182" s="1"/>
      <c r="AD182" s="1"/>
      <c r="AE182" s="1"/>
    </row>
    <row r="183" customFormat="false" ht="36" hidden="false" customHeight="true" outlineLevel="0" collapsed="false">
      <c r="A183" s="10" t="s">
        <v>978</v>
      </c>
      <c r="B183" s="11" t="s">
        <v>979</v>
      </c>
      <c r="C183" s="98" t="s">
        <v>57</v>
      </c>
      <c r="D183" s="99" t="str">
        <f aca="false">IFERROR(INDEX(値リスト!$A$3:$A$9,MATCH(C183,値リスト!$B$3:$B$9,0)),"")</f>
        <v>processed</v>
      </c>
      <c r="E183" s="100" t="s">
        <v>125</v>
      </c>
      <c r="F183" s="101" t="str">
        <f aca="false">IFERROR(INDEX(値リスト!$A$14:$A$24,MATCH(E183,値リスト!$B$14:$B$24,0)),"")</f>
        <v>none</v>
      </c>
      <c r="G183" s="100" t="s">
        <v>63</v>
      </c>
      <c r="H183" s="101" t="str">
        <f aca="false">IFERROR(INDEX(値リスト!$A$27:$A$33,MATCH(G183,値リスト!$B$27:$B$33,0)),"")</f>
        <v>preserve</v>
      </c>
      <c r="I183" s="12" t="s">
        <v>980</v>
      </c>
      <c r="J183" s="102" t="s">
        <v>981</v>
      </c>
      <c r="K183" s="12" t="s">
        <v>580</v>
      </c>
      <c r="L183" s="1"/>
      <c r="M183" s="97" t="s">
        <v>771</v>
      </c>
      <c r="O183" s="97" t="s">
        <v>617</v>
      </c>
      <c r="P183" s="1"/>
      <c r="Q183" s="1"/>
      <c r="R183" s="1"/>
      <c r="S183" s="1"/>
      <c r="T183" s="1"/>
      <c r="U183" s="1"/>
      <c r="V183" s="1"/>
      <c r="W183" s="1"/>
      <c r="X183" s="1"/>
      <c r="Y183" s="1"/>
      <c r="Z183" s="1"/>
      <c r="AA183" s="1"/>
      <c r="AB183" s="1"/>
      <c r="AC183" s="1"/>
      <c r="AD183" s="1"/>
      <c r="AE183" s="1"/>
    </row>
    <row r="184" customFormat="false" ht="36" hidden="false" customHeight="true" outlineLevel="0" collapsed="false">
      <c r="A184" s="10" t="s">
        <v>982</v>
      </c>
      <c r="B184" s="11" t="s">
        <v>983</v>
      </c>
      <c r="C184" s="98" t="s">
        <v>57</v>
      </c>
      <c r="D184" s="99" t="str">
        <f aca="false">IFERROR(INDEX(値リスト!$A$3:$A$9,MATCH(C184,値リスト!$B$3:$B$9,0)),"")</f>
        <v>processed</v>
      </c>
      <c r="E184" s="100" t="s">
        <v>116</v>
      </c>
      <c r="F184" s="101" t="str">
        <f aca="false">IFERROR(INDEX(値リスト!$A$14:$A$24,MATCH(E184,値リスト!$B$14:$B$24,0)),"")</f>
        <v>insulation</v>
      </c>
      <c r="G184" s="100" t="s">
        <v>63</v>
      </c>
      <c r="H184" s="101" t="str">
        <f aca="false">IFERROR(INDEX(値リスト!$A$27:$A$33,MATCH(G184,値リスト!$B$27:$B$33,0)),"")</f>
        <v>preserve</v>
      </c>
      <c r="I184" s="12" t="s">
        <v>984</v>
      </c>
      <c r="J184" s="102" t="s">
        <v>981</v>
      </c>
      <c r="K184" s="12" t="s">
        <v>580</v>
      </c>
      <c r="L184" s="1"/>
      <c r="M184" s="97" t="s">
        <v>771</v>
      </c>
      <c r="O184" s="97" t="s">
        <v>617</v>
      </c>
      <c r="P184" s="1"/>
      <c r="Q184" s="1"/>
      <c r="R184" s="1"/>
      <c r="S184" s="1"/>
      <c r="T184" s="1"/>
      <c r="U184" s="1"/>
      <c r="V184" s="1"/>
      <c r="W184" s="1"/>
      <c r="X184" s="1"/>
      <c r="Y184" s="1"/>
      <c r="Z184" s="1"/>
      <c r="AA184" s="1"/>
      <c r="AB184" s="1"/>
      <c r="AC184" s="1"/>
      <c r="AD184" s="1"/>
      <c r="AE184" s="1"/>
    </row>
    <row r="185" customFormat="false" ht="36" hidden="false" customHeight="true" outlineLevel="0" collapsed="false">
      <c r="A185" s="10" t="s">
        <v>985</v>
      </c>
      <c r="B185" s="11" t="s">
        <v>986</v>
      </c>
      <c r="C185" s="98" t="s">
        <v>57</v>
      </c>
      <c r="D185" s="99" t="str">
        <f aca="false">IFERROR(INDEX(値リスト!$A$3:$A$9,MATCH(C185,値リスト!$B$3:$B$9,0)),"")</f>
        <v>processed</v>
      </c>
      <c r="E185" s="100" t="s">
        <v>120</v>
      </c>
      <c r="F185" s="101" t="str">
        <f aca="false">IFERROR(INDEX(値リスト!$A$14:$A$24,MATCH(E185,値リスト!$B$14:$B$24,0)),"")</f>
        <v>poison</v>
      </c>
      <c r="G185" s="100" t="s">
        <v>133</v>
      </c>
      <c r="H185" s="101" t="str">
        <f aca="false">IFERROR(INDEX(値リスト!$A$27:$A$33,MATCH(G185,値リスト!$B$27:$B$33,0)),"")</f>
        <v>coagulate</v>
      </c>
      <c r="I185" s="12" t="s">
        <v>987</v>
      </c>
      <c r="J185" s="102" t="s">
        <v>981</v>
      </c>
      <c r="K185" s="12" t="s">
        <v>580</v>
      </c>
      <c r="L185" s="1"/>
      <c r="M185" s="97" t="s">
        <v>771</v>
      </c>
      <c r="O185" s="97" t="s">
        <v>617</v>
      </c>
      <c r="P185" s="1"/>
      <c r="Q185" s="1"/>
      <c r="R185" s="1"/>
      <c r="S185" s="1"/>
      <c r="T185" s="1"/>
      <c r="U185" s="1"/>
      <c r="V185" s="1"/>
      <c r="W185" s="1"/>
      <c r="X185" s="1"/>
      <c r="Y185" s="1"/>
      <c r="Z185" s="1"/>
      <c r="AA185" s="1"/>
      <c r="AB185" s="1"/>
      <c r="AC185" s="1"/>
      <c r="AD185" s="1"/>
      <c r="AE185" s="1"/>
    </row>
    <row r="186" customFormat="false" ht="36" hidden="false" customHeight="true" outlineLevel="0" collapsed="false">
      <c r="A186" s="10" t="s">
        <v>988</v>
      </c>
      <c r="B186" s="11" t="s">
        <v>989</v>
      </c>
      <c r="C186" s="98" t="s">
        <v>57</v>
      </c>
      <c r="D186" s="99" t="str">
        <f aca="false">IFERROR(INDEX(値リスト!$A$3:$A$9,MATCH(C186,値リスト!$B$3:$B$9,0)),"")</f>
        <v>processed</v>
      </c>
      <c r="E186" s="100" t="s">
        <v>125</v>
      </c>
      <c r="F186" s="101" t="str">
        <f aca="false">IFERROR(INDEX(値リスト!$A$14:$A$24,MATCH(E186,値リスト!$B$14:$B$24,0)),"")</f>
        <v>none</v>
      </c>
      <c r="G186" s="100" t="s">
        <v>142</v>
      </c>
      <c r="H186" s="101" t="str">
        <f aca="false">IFERROR(INDEX(値リスト!$A$27:$A$33,MATCH(G186,値リスト!$B$27:$B$33,0)),"")</f>
        <v>separate</v>
      </c>
      <c r="I186" s="12" t="s">
        <v>990</v>
      </c>
      <c r="J186" s="102" t="s">
        <v>981</v>
      </c>
      <c r="K186" s="12" t="s">
        <v>580</v>
      </c>
      <c r="L186" s="1"/>
      <c r="M186" s="97" t="s">
        <v>771</v>
      </c>
      <c r="O186" s="97" t="s">
        <v>608</v>
      </c>
      <c r="P186" s="1"/>
      <c r="Q186" s="1"/>
      <c r="R186" s="1"/>
      <c r="S186" s="1"/>
      <c r="T186" s="1"/>
      <c r="U186" s="1"/>
      <c r="V186" s="1"/>
      <c r="W186" s="1"/>
      <c r="X186" s="1"/>
      <c r="Y186" s="1"/>
      <c r="Z186" s="1"/>
      <c r="AA186" s="1"/>
      <c r="AB186" s="1"/>
      <c r="AC186" s="1"/>
      <c r="AD186" s="1"/>
      <c r="AE186" s="1"/>
    </row>
    <row r="187" customFormat="false" ht="36" hidden="false" customHeight="true" outlineLevel="0" collapsed="false">
      <c r="A187" s="10" t="s">
        <v>991</v>
      </c>
      <c r="B187" s="11" t="s">
        <v>992</v>
      </c>
      <c r="C187" s="98" t="s">
        <v>57</v>
      </c>
      <c r="D187" s="99" t="str">
        <f aca="false">IFERROR(INDEX(値リスト!$A$3:$A$9,MATCH(C187,値リスト!$B$3:$B$9,0)),"")</f>
        <v>processed</v>
      </c>
      <c r="E187" s="100" t="s">
        <v>110</v>
      </c>
      <c r="F187" s="101" t="str">
        <f aca="false">IFERROR(INDEX(値リスト!$A$14:$A$24,MATCH(E187,値リスト!$B$14:$B$24,0)),"")</f>
        <v>mystic</v>
      </c>
      <c r="G187" s="100" t="s">
        <v>153</v>
      </c>
      <c r="H187" s="101" t="str">
        <f aca="false">IFERROR(INDEX(値リスト!$A$27:$A$33,MATCH(G187,値リスト!$B$27:$B$33,0)),"")</f>
        <v>catalyst</v>
      </c>
      <c r="I187" s="12" t="s">
        <v>993</v>
      </c>
      <c r="J187" s="102" t="s">
        <v>981</v>
      </c>
      <c r="K187" s="12" t="s">
        <v>580</v>
      </c>
      <c r="L187" s="1"/>
      <c r="M187" s="97" t="s">
        <v>342</v>
      </c>
      <c r="O187" s="97" t="s">
        <v>608</v>
      </c>
      <c r="P187" s="1"/>
      <c r="Q187" s="1"/>
      <c r="R187" s="1"/>
      <c r="S187" s="1"/>
      <c r="T187" s="1"/>
      <c r="U187" s="1"/>
      <c r="V187" s="1"/>
      <c r="W187" s="1"/>
      <c r="X187" s="1"/>
      <c r="Y187" s="1"/>
      <c r="Z187" s="1"/>
      <c r="AA187" s="1"/>
      <c r="AB187" s="1"/>
      <c r="AC187" s="1"/>
      <c r="AD187" s="1"/>
      <c r="AE187" s="1"/>
    </row>
    <row r="188" customFormat="false" ht="36" hidden="false" customHeight="true" outlineLevel="0" collapsed="false">
      <c r="A188" s="10" t="s">
        <v>994</v>
      </c>
      <c r="B188" s="11" t="s">
        <v>995</v>
      </c>
      <c r="C188" s="98" t="s">
        <v>57</v>
      </c>
      <c r="D188" s="99" t="str">
        <f aca="false">IFERROR(INDEX(値リスト!$A$3:$A$9,MATCH(C188,値リスト!$B$3:$B$9,0)),"")</f>
        <v>processed</v>
      </c>
      <c r="E188" s="100" t="s">
        <v>110</v>
      </c>
      <c r="F188" s="101" t="str">
        <f aca="false">IFERROR(INDEX(値リスト!$A$14:$A$24,MATCH(E188,値リスト!$B$14:$B$24,0)),"")</f>
        <v>mystic</v>
      </c>
      <c r="G188" s="100" t="s">
        <v>142</v>
      </c>
      <c r="H188" s="101" t="str">
        <f aca="false">IFERROR(INDEX(値リスト!$A$27:$A$33,MATCH(G188,値リスト!$B$27:$B$33,0)),"")</f>
        <v>separate</v>
      </c>
      <c r="I188" s="12" t="s">
        <v>996</v>
      </c>
      <c r="J188" s="102" t="s">
        <v>981</v>
      </c>
      <c r="K188" s="12" t="s">
        <v>580</v>
      </c>
      <c r="L188" s="1"/>
      <c r="M188" s="97" t="s">
        <v>771</v>
      </c>
      <c r="O188" s="97" t="s">
        <v>608</v>
      </c>
      <c r="P188" s="1"/>
      <c r="Q188" s="1"/>
      <c r="R188" s="1"/>
      <c r="S188" s="1"/>
      <c r="T188" s="1"/>
      <c r="U188" s="1"/>
      <c r="V188" s="1"/>
      <c r="W188" s="1"/>
      <c r="X188" s="1"/>
      <c r="Y188" s="1"/>
      <c r="Z188" s="1"/>
      <c r="AA188" s="1"/>
      <c r="AB188" s="1"/>
      <c r="AC188" s="1"/>
      <c r="AD188" s="1"/>
      <c r="AE188" s="1"/>
    </row>
    <row r="189" customFormat="false" ht="36" hidden="false" customHeight="true" outlineLevel="0" collapsed="false">
      <c r="A189" s="10" t="s">
        <v>997</v>
      </c>
      <c r="B189" s="11" t="s">
        <v>998</v>
      </c>
      <c r="C189" s="98" t="s">
        <v>57</v>
      </c>
      <c r="D189" s="99" t="str">
        <f aca="false">IFERROR(INDEX(値リスト!$A$3:$A$9,MATCH(C189,値リスト!$B$3:$B$9,0)),"")</f>
        <v>processed</v>
      </c>
      <c r="E189" s="100" t="s">
        <v>92</v>
      </c>
      <c r="F189" s="101" t="str">
        <f aca="false">IFERROR(INDEX(値リスト!$A$14:$A$24,MATCH(E189,値リスト!$B$14:$B$24,0)),"")</f>
        <v>sedation</v>
      </c>
      <c r="G189" s="100" t="s">
        <v>147</v>
      </c>
      <c r="H189" s="101" t="str">
        <f aca="false">IFERROR(INDEX(値リスト!$A$27:$A$33,MATCH(G189,値リスト!$B$27:$B$33,0)),"")</f>
        <v>volatile</v>
      </c>
      <c r="I189" s="12" t="s">
        <v>999</v>
      </c>
      <c r="J189" s="102" t="s">
        <v>981</v>
      </c>
      <c r="K189" s="12" t="s">
        <v>580</v>
      </c>
      <c r="L189" s="1"/>
      <c r="M189" s="97" t="s">
        <v>731</v>
      </c>
      <c r="O189" s="97" t="s">
        <v>608</v>
      </c>
      <c r="P189" s="1"/>
      <c r="Q189" s="1"/>
      <c r="R189" s="1"/>
      <c r="S189" s="1"/>
      <c r="T189" s="1"/>
      <c r="U189" s="1"/>
      <c r="V189" s="1"/>
      <c r="W189" s="1"/>
      <c r="X189" s="1"/>
      <c r="Y189" s="1"/>
      <c r="Z189" s="1"/>
      <c r="AA189" s="1"/>
      <c r="AB189" s="1"/>
      <c r="AC189" s="1"/>
      <c r="AD189" s="1"/>
      <c r="AE189" s="1"/>
    </row>
    <row r="190" customFormat="false" ht="36" hidden="false" customHeight="true" outlineLevel="0" collapsed="false">
      <c r="C190" s="105"/>
      <c r="D190" s="106" t="str">
        <f aca="false" t="array" ref="D190:D190">IFERROR(INDEX(値リスト!$A$3:$A$9,MATCH(C190,値リスト!$B$3:$B$9,0)),"")</f>
        <v/>
      </c>
      <c r="E190" s="105"/>
      <c r="F190" s="106" t="str">
        <f aca="false" t="array" ref="F190:F190">IFERROR(INDEX(値リスト!$A$14:$A$24,MATCH(E190,値リスト!$B$14:$B$24,0)),"")</f>
        <v/>
      </c>
      <c r="G190" s="105"/>
      <c r="H190" s="106" t="str">
        <f aca="false" t="array" ref="H190:H190">IFERROR(INDEX(値リスト!$A$27:$A$33,MATCH(G190,値リスト!$B$27:$B$33,0)),"")</f>
        <v/>
      </c>
      <c r="P190" s="1"/>
      <c r="Q190" s="1"/>
      <c r="R190" s="1"/>
      <c r="S190" s="1"/>
      <c r="T190" s="1"/>
      <c r="U190" s="1"/>
      <c r="V190" s="1"/>
      <c r="W190" s="1"/>
      <c r="X190" s="1"/>
      <c r="Y190" s="1"/>
      <c r="Z190" s="1"/>
      <c r="AA190" s="1"/>
      <c r="AB190" s="1"/>
      <c r="AC190" s="1"/>
      <c r="AD190" s="1"/>
      <c r="AE190" s="1"/>
    </row>
    <row r="191" customFormat="false" ht="36" hidden="false" customHeight="true" outlineLevel="0" collapsed="false">
      <c r="A191" s="107" t="s">
        <v>1000</v>
      </c>
      <c r="B191" s="107"/>
      <c r="C191" s="107"/>
      <c r="D191" s="107"/>
      <c r="E191" s="107"/>
      <c r="F191" s="107"/>
      <c r="G191" s="107"/>
      <c r="H191" s="107"/>
      <c r="I191" s="107"/>
      <c r="J191" s="107"/>
      <c r="K191" s="107"/>
      <c r="L191" s="107"/>
      <c r="M191" s="107"/>
      <c r="N191" s="107"/>
      <c r="O191" s="107"/>
      <c r="P191" s="107"/>
      <c r="Q191" s="1"/>
      <c r="R191" s="1"/>
      <c r="S191" s="1"/>
      <c r="T191" s="1"/>
      <c r="U191" s="1"/>
      <c r="V191" s="1"/>
      <c r="W191" s="1"/>
      <c r="X191" s="1"/>
      <c r="Y191" s="1"/>
      <c r="Z191" s="1"/>
      <c r="AA191" s="1"/>
      <c r="AB191" s="1"/>
      <c r="AC191" s="1"/>
      <c r="AD191" s="1"/>
      <c r="AE191" s="1"/>
    </row>
    <row r="192" customFormat="false" ht="36" hidden="false" customHeight="true" outlineLevel="0" collapsed="false">
      <c r="C192" s="105"/>
      <c r="D192" s="106" t="str">
        <f aca="false" t="array" ref="D192:D192">IFERROR(INDEX(値リスト!$A$3:$A$9,MATCH(C192,値リスト!$B$3:$B$9,0)),"")</f>
        <v/>
      </c>
      <c r="E192" s="105"/>
      <c r="F192" s="106" t="str">
        <f aca="false" t="array" ref="F192:F192">IFERROR(INDEX(値リスト!$A$14:$A$24,MATCH(E192,値リスト!$B$14:$B$24,0)),"")</f>
        <v/>
      </c>
      <c r="G192" s="105"/>
      <c r="H192" s="106" t="str">
        <f aca="false" t="array" ref="H192:H192">IFERROR(INDEX(値リスト!$A$27:$A$33,MATCH(G192,値リスト!$B$27:$B$33,0)),"")</f>
        <v/>
      </c>
      <c r="P192" s="1"/>
      <c r="Q192" s="1"/>
      <c r="R192" s="1"/>
      <c r="S192" s="1"/>
      <c r="T192" s="1"/>
      <c r="U192" s="1"/>
      <c r="V192" s="1"/>
      <c r="W192" s="1"/>
      <c r="X192" s="1"/>
      <c r="Y192" s="1"/>
      <c r="Z192" s="1"/>
      <c r="AA192" s="1"/>
      <c r="AB192" s="1"/>
      <c r="AC192" s="1"/>
      <c r="AD192" s="1"/>
      <c r="AE192" s="1"/>
    </row>
    <row r="193" customFormat="false" ht="36" hidden="false" customHeight="true" outlineLevel="0" collapsed="false">
      <c r="C193" s="105"/>
      <c r="D193" s="106" t="str">
        <f aca="false" t="array" ref="D193:D193">IFERROR(INDEX(値リスト!$A$3:$A$9,MATCH(C193,値リスト!$B$3:$B$9,0)),"")</f>
        <v/>
      </c>
      <c r="E193" s="105"/>
      <c r="F193" s="106" t="str">
        <f aca="false" t="array" ref="F193:F193">IFERROR(INDEX(値リスト!$A$14:$A$24,MATCH(E193,値リスト!$B$14:$B$24,0)),"")</f>
        <v/>
      </c>
      <c r="G193" s="105"/>
      <c r="H193" s="106" t="str">
        <f aca="false" t="array" ref="H193:H193">IFERROR(INDEX(値リスト!$A$27:$A$33,MATCH(G193,値リスト!$B$27:$B$33,0)),"")</f>
        <v/>
      </c>
      <c r="P193" s="1"/>
      <c r="Q193" s="1"/>
      <c r="R193" s="1"/>
      <c r="S193" s="1"/>
      <c r="T193" s="1"/>
      <c r="U193" s="1"/>
      <c r="V193" s="1"/>
      <c r="W193" s="1"/>
      <c r="X193" s="1"/>
      <c r="Y193" s="1"/>
      <c r="Z193" s="1"/>
      <c r="AA193" s="1"/>
      <c r="AB193" s="1"/>
      <c r="AC193" s="1"/>
      <c r="AD193" s="1"/>
      <c r="AE193" s="1"/>
    </row>
    <row r="194" customFormat="false" ht="36" hidden="false" customHeight="true" outlineLevel="0" collapsed="false">
      <c r="C194" s="105"/>
      <c r="D194" s="106" t="str">
        <f aca="false" t="array" ref="D194:D194">IFERROR(INDEX(値リスト!$A$3:$A$9,MATCH(C194,値リスト!$B$3:$B$9,0)),"")</f>
        <v/>
      </c>
      <c r="E194" s="105"/>
      <c r="F194" s="106" t="str">
        <f aca="false" t="array" ref="F194:F194">IFERROR(INDEX(値リスト!$A$14:$A$24,MATCH(E194,値リスト!$B$14:$B$24,0)),"")</f>
        <v/>
      </c>
      <c r="G194" s="105"/>
      <c r="H194" s="106" t="str">
        <f aca="false" t="array" ref="H194:H194">IFERROR(INDEX(値リスト!$A$27:$A$33,MATCH(G194,値リスト!$B$27:$B$33,0)),"")</f>
        <v/>
      </c>
      <c r="P194" s="1"/>
      <c r="Q194" s="1"/>
      <c r="R194" s="1"/>
      <c r="S194" s="1"/>
      <c r="T194" s="1"/>
      <c r="U194" s="1"/>
      <c r="V194" s="1"/>
      <c r="W194" s="1"/>
      <c r="X194" s="1"/>
      <c r="Y194" s="1"/>
      <c r="Z194" s="1"/>
      <c r="AA194" s="1"/>
      <c r="AB194" s="1"/>
      <c r="AC194" s="1"/>
      <c r="AD194" s="1"/>
      <c r="AE194" s="1"/>
    </row>
    <row r="195" customFormat="false" ht="36" hidden="false" customHeight="true" outlineLevel="0" collapsed="false">
      <c r="C195" s="105"/>
      <c r="D195" s="106" t="str">
        <f aca="false" t="array" ref="D195:D195">IFERROR(INDEX(値リスト!$A$3:$A$9,MATCH(C195,値リスト!$B$3:$B$9,0)),"")</f>
        <v/>
      </c>
      <c r="E195" s="105"/>
      <c r="F195" s="106" t="str">
        <f aca="false" t="array" ref="F195:F195">IFERROR(INDEX(値リスト!$A$14:$A$24,MATCH(E195,値リスト!$B$14:$B$24,0)),"")</f>
        <v/>
      </c>
      <c r="G195" s="105"/>
      <c r="H195" s="106" t="str">
        <f aca="false" t="array" ref="H195:H195">IFERROR(INDEX(値リスト!$A$27:$A$33,MATCH(G195,値リスト!$B$27:$B$33,0)),"")</f>
        <v/>
      </c>
      <c r="P195" s="1"/>
      <c r="Q195" s="1"/>
      <c r="R195" s="1"/>
      <c r="S195" s="1"/>
      <c r="T195" s="1"/>
      <c r="U195" s="1"/>
      <c r="V195" s="1"/>
      <c r="W195" s="1"/>
      <c r="X195" s="1"/>
      <c r="Y195" s="1"/>
      <c r="Z195" s="1"/>
      <c r="AA195" s="1"/>
      <c r="AB195" s="1"/>
      <c r="AC195" s="1"/>
      <c r="AD195" s="1"/>
      <c r="AE195" s="1"/>
    </row>
    <row r="196" customFormat="false" ht="36" hidden="false" customHeight="true" outlineLevel="0" collapsed="false">
      <c r="C196" s="105"/>
      <c r="D196" s="106" t="str">
        <f aca="false" t="array" ref="D196:D196">IFERROR(INDEX(値リスト!$A$3:$A$9,MATCH(C196,値リスト!$B$3:$B$9,0)),"")</f>
        <v/>
      </c>
      <c r="E196" s="105"/>
      <c r="F196" s="106" t="str">
        <f aca="false" t="array" ref="F196:F196">IFERROR(INDEX(値リスト!$A$14:$A$24,MATCH(E196,値リスト!$B$14:$B$24,0)),"")</f>
        <v/>
      </c>
      <c r="G196" s="105"/>
      <c r="H196" s="106" t="str">
        <f aca="false" t="array" ref="H196:H196">IFERROR(INDEX(値リスト!$A$27:$A$33,MATCH(G196,値リスト!$B$27:$B$33,0)),"")</f>
        <v/>
      </c>
      <c r="P196" s="1"/>
      <c r="Q196" s="1"/>
      <c r="R196" s="1"/>
      <c r="S196" s="1"/>
      <c r="T196" s="1"/>
      <c r="U196" s="1"/>
      <c r="V196" s="1"/>
      <c r="W196" s="1"/>
      <c r="X196" s="1"/>
      <c r="Y196" s="1"/>
      <c r="Z196" s="1"/>
      <c r="AA196" s="1"/>
      <c r="AB196" s="1"/>
      <c r="AC196" s="1"/>
      <c r="AD196" s="1"/>
      <c r="AE196" s="1"/>
    </row>
    <row r="197" customFormat="false" ht="36" hidden="false" customHeight="true" outlineLevel="0" collapsed="false">
      <c r="C197" s="105"/>
      <c r="D197" s="106" t="str">
        <f aca="false" t="array" ref="D197:D197">IFERROR(INDEX(値リスト!$A$3:$A$9,MATCH(C197,値リスト!$B$3:$B$9,0)),"")</f>
        <v/>
      </c>
      <c r="E197" s="105"/>
      <c r="F197" s="106" t="str">
        <f aca="false" t="array" ref="F197:F197">IFERROR(INDEX(値リスト!$A$14:$A$24,MATCH(E197,値リスト!$B$14:$B$24,0)),"")</f>
        <v/>
      </c>
      <c r="G197" s="105"/>
      <c r="H197" s="106" t="str">
        <f aca="false" t="array" ref="H197:H197">IFERROR(INDEX(値リスト!$A$27:$A$33,MATCH(G197,値リスト!$B$27:$B$33,0)),"")</f>
        <v/>
      </c>
      <c r="P197" s="1"/>
      <c r="Q197" s="1"/>
      <c r="R197" s="1"/>
      <c r="S197" s="1"/>
      <c r="T197" s="1"/>
      <c r="U197" s="1"/>
      <c r="V197" s="1"/>
      <c r="W197" s="1"/>
      <c r="X197" s="1"/>
      <c r="Y197" s="1"/>
      <c r="Z197" s="1"/>
      <c r="AA197" s="1"/>
      <c r="AB197" s="1"/>
      <c r="AC197" s="1"/>
      <c r="AD197" s="1"/>
      <c r="AE197" s="1"/>
    </row>
    <row r="198" customFormat="false" ht="36" hidden="false" customHeight="true" outlineLevel="0" collapsed="false">
      <c r="C198" s="105"/>
      <c r="D198" s="106" t="str">
        <f aca="false" t="array" ref="D198:D198">IFERROR(INDEX(値リスト!$A$3:$A$9,MATCH(C198,値リスト!$B$3:$B$9,0)),"")</f>
        <v/>
      </c>
      <c r="E198" s="105"/>
      <c r="F198" s="106" t="str">
        <f aca="false" t="array" ref="F198:F198">IFERROR(INDEX(値リスト!$A$14:$A$24,MATCH(E198,値リスト!$B$14:$B$24,0)),"")</f>
        <v/>
      </c>
      <c r="G198" s="105"/>
      <c r="H198" s="106" t="str">
        <f aca="false" t="array" ref="H198:H198">IFERROR(INDEX(値リスト!$A$27:$A$33,MATCH(G198,値リスト!$B$27:$B$33,0)),"")</f>
        <v/>
      </c>
      <c r="P198" s="1"/>
      <c r="Q198" s="1"/>
      <c r="R198" s="1"/>
      <c r="S198" s="1"/>
      <c r="T198" s="1"/>
      <c r="U198" s="1"/>
      <c r="V198" s="1"/>
      <c r="W198" s="1"/>
      <c r="X198" s="1"/>
      <c r="Y198" s="1"/>
      <c r="Z198" s="1"/>
      <c r="AA198" s="1"/>
      <c r="AB198" s="1"/>
      <c r="AC198" s="1"/>
      <c r="AD198" s="1"/>
      <c r="AE198" s="1"/>
    </row>
    <row r="199" customFormat="false" ht="36" hidden="false" customHeight="true" outlineLevel="0" collapsed="false">
      <c r="C199" s="105"/>
      <c r="D199" s="106" t="str">
        <f aca="false" t="array" ref="D199:D199">IFERROR(INDEX(値リスト!$A$3:$A$9,MATCH(C199,値リスト!$B$3:$B$9,0)),"")</f>
        <v/>
      </c>
      <c r="E199" s="105"/>
      <c r="F199" s="106" t="str">
        <f aca="false" t="array" ref="F199:F199">IFERROR(INDEX(値リスト!$A$14:$A$24,MATCH(E199,値リスト!$B$14:$B$24,0)),"")</f>
        <v/>
      </c>
      <c r="G199" s="105"/>
      <c r="H199" s="106" t="str">
        <f aca="false" t="array" ref="H199:H199">IFERROR(INDEX(値リスト!$A$27:$A$33,MATCH(G199,値リスト!$B$27:$B$33,0)),"")</f>
        <v/>
      </c>
      <c r="P199" s="1"/>
      <c r="Q199" s="1"/>
      <c r="R199" s="1"/>
      <c r="S199" s="1"/>
      <c r="T199" s="1"/>
      <c r="U199" s="1"/>
      <c r="V199" s="1"/>
      <c r="W199" s="1"/>
      <c r="X199" s="1"/>
      <c r="Y199" s="1"/>
      <c r="Z199" s="1"/>
      <c r="AA199" s="1"/>
      <c r="AB199" s="1"/>
      <c r="AC199" s="1"/>
      <c r="AD199" s="1"/>
      <c r="AE199" s="1"/>
    </row>
    <row r="200" customFormat="false" ht="36" hidden="false" customHeight="true" outlineLevel="0" collapsed="false">
      <c r="C200" s="105"/>
      <c r="D200" s="106" t="str">
        <f aca="false" t="array" ref="D200:D200">IFERROR(INDEX(値リスト!$A$3:$A$9,MATCH(C200,値リスト!$B$3:$B$9,0)),"")</f>
        <v/>
      </c>
      <c r="E200" s="105"/>
      <c r="F200" s="106" t="str">
        <f aca="false" t="array" ref="F200:F200">IFERROR(INDEX(値リスト!$A$14:$A$24,MATCH(E200,値リスト!$B$14:$B$24,0)),"")</f>
        <v/>
      </c>
      <c r="G200" s="105"/>
      <c r="H200" s="106" t="str">
        <f aca="false" t="array" ref="H200:H200">IFERROR(INDEX(値リスト!$A$27:$A$33,MATCH(G200,値リスト!$B$27:$B$33,0)),"")</f>
        <v/>
      </c>
      <c r="P200" s="1"/>
      <c r="Q200" s="1"/>
      <c r="R200" s="1"/>
      <c r="S200" s="1"/>
      <c r="T200" s="1"/>
      <c r="U200" s="1"/>
      <c r="V200" s="1"/>
      <c r="W200" s="1"/>
      <c r="X200" s="1"/>
      <c r="Y200" s="1"/>
      <c r="Z200" s="1"/>
      <c r="AA200" s="1"/>
      <c r="AB200" s="1"/>
      <c r="AC200" s="1"/>
      <c r="AD200" s="1"/>
      <c r="AE200" s="1"/>
    </row>
    <row r="201" customFormat="false" ht="36" hidden="false" customHeight="true" outlineLevel="0" collapsed="false">
      <c r="C201" s="105"/>
      <c r="D201" s="106" t="str">
        <f aca="false" t="array" ref="D201:D201">IFERROR(INDEX(値リスト!$A$3:$A$9,MATCH(C201,値リスト!$B$3:$B$9,0)),"")</f>
        <v/>
      </c>
      <c r="E201" s="105"/>
      <c r="F201" s="106" t="str">
        <f aca="false" t="array" ref="F201:F201">IFERROR(INDEX(値リスト!$A$14:$A$24,MATCH(E201,値リスト!$B$14:$B$24,0)),"")</f>
        <v/>
      </c>
      <c r="G201" s="105"/>
      <c r="H201" s="106" t="str">
        <f aca="false" t="array" ref="H201:H201">IFERROR(INDEX(値リスト!$A$27:$A$33,MATCH(G201,値リスト!$B$27:$B$33,0)),"")</f>
        <v/>
      </c>
      <c r="P201" s="1"/>
      <c r="Q201" s="1"/>
      <c r="R201" s="1"/>
      <c r="S201" s="1"/>
      <c r="T201" s="1"/>
      <c r="U201" s="1"/>
      <c r="V201" s="1"/>
      <c r="W201" s="1"/>
      <c r="X201" s="1"/>
      <c r="Y201" s="1"/>
      <c r="Z201" s="1"/>
      <c r="AA201" s="1"/>
      <c r="AB201" s="1"/>
      <c r="AC201" s="1"/>
      <c r="AD201" s="1"/>
      <c r="AE201" s="1"/>
    </row>
    <row r="202" customFormat="false" ht="36" hidden="false" customHeight="true" outlineLevel="0" collapsed="false">
      <c r="C202" s="105"/>
      <c r="D202" s="106" t="str">
        <f aca="false" t="array" ref="D202:D202">IFERROR(INDEX(値リスト!$A$3:$A$9,MATCH(C202,値リスト!$B$3:$B$9,0)),"")</f>
        <v/>
      </c>
      <c r="E202" s="105"/>
      <c r="F202" s="106" t="str">
        <f aca="false" t="array" ref="F202:F202">IFERROR(INDEX(値リスト!$A$14:$A$24,MATCH(E202,値リスト!$B$14:$B$24,0)),"")</f>
        <v/>
      </c>
      <c r="G202" s="105"/>
      <c r="H202" s="106" t="str">
        <f aca="false" t="array" ref="H202:H202">IFERROR(INDEX(値リスト!$A$27:$A$33,MATCH(G202,値リスト!$B$27:$B$33,0)),"")</f>
        <v/>
      </c>
      <c r="P202" s="1"/>
      <c r="Q202" s="1"/>
      <c r="R202" s="1"/>
      <c r="S202" s="1"/>
      <c r="T202" s="1"/>
      <c r="U202" s="1"/>
      <c r="V202" s="1"/>
      <c r="W202" s="1"/>
      <c r="X202" s="1"/>
      <c r="Y202" s="1"/>
      <c r="Z202" s="1"/>
      <c r="AA202" s="1"/>
      <c r="AB202" s="1"/>
      <c r="AC202" s="1"/>
      <c r="AD202" s="1"/>
      <c r="AE202" s="1"/>
    </row>
    <row r="203" customFormat="false" ht="36" hidden="false" customHeight="true" outlineLevel="0" collapsed="false">
      <c r="C203" s="105"/>
      <c r="D203" s="106" t="str">
        <f aca="false" t="array" ref="D203:D203">IFERROR(INDEX(値リスト!$A$3:$A$9,MATCH(C203,値リスト!$B$3:$B$9,0)),"")</f>
        <v/>
      </c>
      <c r="E203" s="105"/>
      <c r="F203" s="106" t="str">
        <f aca="false" t="array" ref="F203:F203">IFERROR(INDEX(値リスト!$A$14:$A$24,MATCH(E203,値リスト!$B$14:$B$24,0)),"")</f>
        <v/>
      </c>
      <c r="G203" s="105"/>
      <c r="H203" s="106" t="str">
        <f aca="false" t="array" ref="H203:H203">IFERROR(INDEX(値リスト!$A$27:$A$33,MATCH(G203,値リスト!$B$27:$B$33,0)),"")</f>
        <v/>
      </c>
      <c r="P203" s="1"/>
      <c r="Q203" s="1"/>
      <c r="R203" s="1"/>
      <c r="S203" s="1"/>
      <c r="T203" s="1"/>
      <c r="U203" s="1"/>
      <c r="V203" s="1"/>
      <c r="W203" s="1"/>
      <c r="X203" s="1"/>
      <c r="Y203" s="1"/>
      <c r="Z203" s="1"/>
      <c r="AA203" s="1"/>
      <c r="AB203" s="1"/>
      <c r="AC203" s="1"/>
      <c r="AD203" s="1"/>
      <c r="AE203" s="1"/>
    </row>
    <row r="204" customFormat="false" ht="36" hidden="false" customHeight="true" outlineLevel="0" collapsed="false">
      <c r="C204" s="105"/>
      <c r="D204" s="106" t="str">
        <f aca="false" t="array" ref="D204:D204">IFERROR(INDEX(値リスト!$A$3:$A$9,MATCH(C204,値リスト!$B$3:$B$9,0)),"")</f>
        <v/>
      </c>
      <c r="E204" s="105"/>
      <c r="F204" s="106" t="str">
        <f aca="false" t="array" ref="F204:F204">IFERROR(INDEX(値リスト!$A$14:$A$24,MATCH(E204,値リスト!$B$14:$B$24,0)),"")</f>
        <v/>
      </c>
      <c r="G204" s="105"/>
      <c r="H204" s="106" t="str">
        <f aca="false" t="array" ref="H204:H204">IFERROR(INDEX(値リスト!$A$27:$A$33,MATCH(G204,値リスト!$B$27:$B$33,0)),"")</f>
        <v/>
      </c>
      <c r="P204" s="1"/>
      <c r="Q204" s="1"/>
      <c r="R204" s="1"/>
      <c r="S204" s="1"/>
      <c r="T204" s="1"/>
      <c r="U204" s="1"/>
      <c r="V204" s="1"/>
      <c r="W204" s="1"/>
      <c r="X204" s="1"/>
      <c r="Y204" s="1"/>
      <c r="Z204" s="1"/>
      <c r="AA204" s="1"/>
      <c r="AB204" s="1"/>
      <c r="AC204" s="1"/>
      <c r="AD204" s="1"/>
      <c r="AE204" s="1"/>
    </row>
    <row r="205" customFormat="false" ht="36" hidden="false" customHeight="true" outlineLevel="0" collapsed="false">
      <c r="C205" s="105"/>
      <c r="D205" s="106" t="str">
        <f aca="false" t="array" ref="D205:D205">IFERROR(INDEX(値リスト!$A$3:$A$9,MATCH(C205,値リスト!$B$3:$B$9,0)),"")</f>
        <v/>
      </c>
      <c r="E205" s="105"/>
      <c r="F205" s="106" t="str">
        <f aca="false" t="array" ref="F205:F205">IFERROR(INDEX(値リスト!$A$14:$A$24,MATCH(E205,値リスト!$B$14:$B$24,0)),"")</f>
        <v/>
      </c>
      <c r="G205" s="105"/>
      <c r="H205" s="106" t="str">
        <f aca="false" t="array" ref="H205:H205">IFERROR(INDEX(値リスト!$A$27:$A$33,MATCH(G205,値リスト!$B$27:$B$33,0)),"")</f>
        <v/>
      </c>
      <c r="P205" s="1"/>
      <c r="Q205" s="1"/>
      <c r="R205" s="1"/>
      <c r="S205" s="1"/>
      <c r="T205" s="1"/>
      <c r="U205" s="1"/>
      <c r="V205" s="1"/>
      <c r="W205" s="1"/>
      <c r="X205" s="1"/>
      <c r="Y205" s="1"/>
      <c r="Z205" s="1"/>
      <c r="AA205" s="1"/>
      <c r="AB205" s="1"/>
      <c r="AC205" s="1"/>
      <c r="AD205" s="1"/>
      <c r="AE205" s="1"/>
    </row>
    <row r="206" customFormat="false" ht="36" hidden="false" customHeight="true" outlineLevel="0" collapsed="false">
      <c r="P206" s="1"/>
      <c r="Q206" s="1"/>
      <c r="R206" s="1"/>
      <c r="S206" s="1"/>
      <c r="T206" s="1"/>
      <c r="U206" s="1"/>
      <c r="V206" s="1"/>
      <c r="W206" s="1"/>
      <c r="X206" s="1"/>
      <c r="Y206" s="1"/>
      <c r="Z206" s="1"/>
      <c r="AA206" s="1"/>
      <c r="AB206" s="1"/>
      <c r="AC206" s="1"/>
      <c r="AD206" s="1"/>
      <c r="AE206" s="1"/>
    </row>
    <row r="207" customFormat="false" ht="36" hidden="false" customHeight="true" outlineLevel="0" collapsed="false">
      <c r="P207" s="1"/>
      <c r="Q207" s="1"/>
      <c r="R207" s="1"/>
      <c r="S207" s="1"/>
      <c r="T207" s="1"/>
      <c r="U207" s="1"/>
      <c r="V207" s="1"/>
      <c r="W207" s="1"/>
      <c r="X207" s="1"/>
      <c r="Y207" s="1"/>
      <c r="Z207" s="1"/>
      <c r="AA207" s="1"/>
      <c r="AB207" s="1"/>
      <c r="AC207" s="1"/>
      <c r="AD207" s="1"/>
      <c r="AE207" s="1"/>
    </row>
    <row r="208" customFormat="false" ht="36" hidden="false" customHeight="true" outlineLevel="0" collapsed="false">
      <c r="P208" s="1"/>
      <c r="Q208" s="1"/>
      <c r="R208" s="1"/>
      <c r="S208" s="1"/>
      <c r="T208" s="1"/>
      <c r="U208" s="1"/>
      <c r="V208" s="1"/>
      <c r="W208" s="1"/>
      <c r="X208" s="1"/>
      <c r="Y208" s="1"/>
      <c r="Z208" s="1"/>
      <c r="AA208" s="1"/>
      <c r="AB208" s="1"/>
      <c r="AC208" s="1"/>
      <c r="AD208" s="1"/>
      <c r="AE208" s="1"/>
    </row>
    <row r="209" customFormat="false" ht="36" hidden="false" customHeight="true" outlineLevel="0" collapsed="false">
      <c r="P209" s="1"/>
      <c r="Q209" s="1"/>
      <c r="R209" s="1"/>
      <c r="S209" s="1"/>
      <c r="T209" s="1"/>
      <c r="U209" s="1"/>
      <c r="V209" s="1"/>
      <c r="W209" s="1"/>
      <c r="X209" s="1"/>
      <c r="Y209" s="1"/>
      <c r="Z209" s="1"/>
      <c r="AA209" s="1"/>
      <c r="AB209" s="1"/>
      <c r="AC209" s="1"/>
      <c r="AD209" s="1"/>
      <c r="AE209" s="1"/>
    </row>
    <row r="210" customFormat="false" ht="36" hidden="false" customHeight="true" outlineLevel="0" collapsed="false">
      <c r="P210" s="1"/>
      <c r="Q210" s="1"/>
      <c r="R210" s="1"/>
      <c r="S210" s="1"/>
      <c r="T210" s="1"/>
      <c r="U210" s="1"/>
      <c r="V210" s="1"/>
      <c r="W210" s="1"/>
      <c r="X210" s="1"/>
      <c r="Y210" s="1"/>
      <c r="Z210" s="1"/>
      <c r="AA210" s="1"/>
      <c r="AB210" s="1"/>
      <c r="AC210" s="1"/>
      <c r="AD210" s="1"/>
      <c r="AE210" s="1"/>
    </row>
    <row r="211" customFormat="false" ht="36" hidden="false" customHeight="true" outlineLevel="0" collapsed="false">
      <c r="P211" s="1"/>
      <c r="Q211" s="1"/>
      <c r="R211" s="1"/>
      <c r="S211" s="1"/>
      <c r="T211" s="1"/>
      <c r="U211" s="1"/>
      <c r="V211" s="1"/>
      <c r="W211" s="1"/>
      <c r="X211" s="1"/>
      <c r="Y211" s="1"/>
      <c r="Z211" s="1"/>
      <c r="AA211" s="1"/>
      <c r="AB211" s="1"/>
      <c r="AC211" s="1"/>
      <c r="AD211" s="1"/>
      <c r="AE211" s="1"/>
    </row>
    <row r="212" customFormat="false" ht="36" hidden="false" customHeight="true" outlineLevel="0" collapsed="false">
      <c r="P212" s="1"/>
      <c r="Q212" s="1"/>
      <c r="R212" s="1"/>
      <c r="S212" s="1"/>
      <c r="T212" s="1"/>
      <c r="U212" s="1"/>
      <c r="V212" s="1"/>
      <c r="W212" s="1"/>
      <c r="X212" s="1"/>
      <c r="Y212" s="1"/>
      <c r="Z212" s="1"/>
      <c r="AA212" s="1"/>
      <c r="AB212" s="1"/>
      <c r="AC212" s="1"/>
      <c r="AD212" s="1"/>
      <c r="AE212" s="1"/>
    </row>
    <row r="213" customFormat="false" ht="36" hidden="false" customHeight="true" outlineLevel="0" collapsed="false">
      <c r="P213" s="1"/>
      <c r="Q213" s="1"/>
      <c r="R213" s="1"/>
      <c r="S213" s="1"/>
      <c r="T213" s="1"/>
      <c r="U213" s="1"/>
      <c r="V213" s="1"/>
      <c r="W213" s="1"/>
      <c r="X213" s="1"/>
      <c r="Y213" s="1"/>
      <c r="Z213" s="1"/>
      <c r="AA213" s="1"/>
      <c r="AB213" s="1"/>
      <c r="AC213" s="1"/>
      <c r="AD213" s="1"/>
      <c r="AE213" s="1"/>
    </row>
    <row r="214" customFormat="false" ht="36" hidden="false" customHeight="true" outlineLevel="0" collapsed="false">
      <c r="P214" s="1"/>
      <c r="Q214" s="1"/>
      <c r="R214" s="1"/>
      <c r="S214" s="1"/>
      <c r="T214" s="1"/>
      <c r="U214" s="1"/>
      <c r="V214" s="1"/>
      <c r="W214" s="1"/>
      <c r="X214" s="1"/>
      <c r="Y214" s="1"/>
      <c r="Z214" s="1"/>
      <c r="AA214" s="1"/>
      <c r="AB214" s="1"/>
      <c r="AC214" s="1"/>
      <c r="AD214" s="1"/>
      <c r="AE214" s="1"/>
    </row>
    <row r="215" customFormat="false" ht="36" hidden="false" customHeight="true" outlineLevel="0" collapsed="false">
      <c r="P215" s="1"/>
      <c r="Q215" s="1"/>
      <c r="R215" s="1"/>
      <c r="S215" s="1"/>
      <c r="T215" s="1"/>
      <c r="U215" s="1"/>
      <c r="V215" s="1"/>
      <c r="W215" s="1"/>
      <c r="X215" s="1"/>
      <c r="Y215" s="1"/>
      <c r="Z215" s="1"/>
      <c r="AA215" s="1"/>
      <c r="AB215" s="1"/>
      <c r="AC215" s="1"/>
      <c r="AD215" s="1"/>
      <c r="AE215" s="1"/>
    </row>
    <row r="216" customFormat="false" ht="36" hidden="false" customHeight="true" outlineLevel="0" collapsed="false">
      <c r="P216" s="1"/>
      <c r="Q216" s="1"/>
      <c r="R216" s="1"/>
      <c r="S216" s="1"/>
      <c r="T216" s="1"/>
      <c r="U216" s="1"/>
      <c r="V216" s="1"/>
      <c r="W216" s="1"/>
      <c r="X216" s="1"/>
      <c r="Y216" s="1"/>
      <c r="Z216" s="1"/>
      <c r="AA216" s="1"/>
      <c r="AB216" s="1"/>
      <c r="AC216" s="1"/>
      <c r="AD216" s="1"/>
      <c r="AE216" s="1"/>
    </row>
    <row r="217" customFormat="false" ht="36" hidden="false" customHeight="true" outlineLevel="0" collapsed="false">
      <c r="P217" s="1"/>
      <c r="Q217" s="1"/>
      <c r="R217" s="1"/>
      <c r="S217" s="1"/>
      <c r="T217" s="1"/>
      <c r="U217" s="1"/>
      <c r="V217" s="1"/>
      <c r="W217" s="1"/>
      <c r="X217" s="1"/>
      <c r="Y217" s="1"/>
      <c r="Z217" s="1"/>
      <c r="AA217" s="1"/>
      <c r="AB217" s="1"/>
      <c r="AC217" s="1"/>
      <c r="AD217" s="1"/>
      <c r="AE217" s="1"/>
    </row>
    <row r="218" customFormat="false" ht="36" hidden="false" customHeight="true" outlineLevel="0" collapsed="false">
      <c r="P218" s="1"/>
      <c r="Q218" s="1"/>
      <c r="R218" s="1"/>
      <c r="S218" s="1"/>
      <c r="T218" s="1"/>
      <c r="U218" s="1"/>
      <c r="V218" s="1"/>
      <c r="W218" s="1"/>
      <c r="X218" s="1"/>
      <c r="Y218" s="1"/>
      <c r="Z218" s="1"/>
      <c r="AA218" s="1"/>
      <c r="AB218" s="1"/>
      <c r="AC218" s="1"/>
      <c r="AD218" s="1"/>
      <c r="AE218" s="1"/>
    </row>
    <row r="219" customFormat="false" ht="36" hidden="false" customHeight="true" outlineLevel="0" collapsed="false">
      <c r="P219" s="1"/>
      <c r="Q219" s="1"/>
      <c r="R219" s="1"/>
      <c r="S219" s="1"/>
      <c r="T219" s="1"/>
      <c r="U219" s="1"/>
      <c r="V219" s="1"/>
      <c r="W219" s="1"/>
      <c r="X219" s="1"/>
      <c r="Y219" s="1"/>
      <c r="Z219" s="1"/>
      <c r="AA219" s="1"/>
      <c r="AB219" s="1"/>
      <c r="AC219" s="1"/>
      <c r="AD219" s="1"/>
      <c r="AE219" s="1"/>
    </row>
    <row r="220" customFormat="false" ht="36" hidden="false" customHeight="true" outlineLevel="0" collapsed="false">
      <c r="P220" s="1"/>
      <c r="Q220" s="1"/>
      <c r="R220" s="1"/>
      <c r="S220" s="1"/>
      <c r="T220" s="1"/>
      <c r="U220" s="1"/>
      <c r="V220" s="1"/>
      <c r="W220" s="1"/>
      <c r="X220" s="1"/>
      <c r="Y220" s="1"/>
      <c r="Z220" s="1"/>
      <c r="AA220" s="1"/>
      <c r="AB220" s="1"/>
      <c r="AC220" s="1"/>
      <c r="AD220" s="1"/>
      <c r="AE220" s="1"/>
    </row>
    <row r="221" customFormat="false" ht="36" hidden="false" customHeight="true" outlineLevel="0" collapsed="false">
      <c r="P221" s="1"/>
      <c r="Q221" s="1"/>
      <c r="R221" s="1"/>
      <c r="S221" s="1"/>
      <c r="T221" s="1"/>
      <c r="U221" s="1"/>
      <c r="V221" s="1"/>
      <c r="W221" s="1"/>
      <c r="X221" s="1"/>
      <c r="Y221" s="1"/>
      <c r="Z221" s="1"/>
      <c r="AA221" s="1"/>
      <c r="AB221" s="1"/>
      <c r="AC221" s="1"/>
      <c r="AD221" s="1"/>
      <c r="AE221" s="1"/>
    </row>
    <row r="222" customFormat="false" ht="36" hidden="false" customHeight="true" outlineLevel="0" collapsed="false">
      <c r="P222" s="1"/>
      <c r="Q222" s="1"/>
      <c r="R222" s="1"/>
      <c r="S222" s="1"/>
      <c r="T222" s="1"/>
      <c r="U222" s="1"/>
      <c r="V222" s="1"/>
      <c r="W222" s="1"/>
      <c r="X222" s="1"/>
      <c r="Y222" s="1"/>
      <c r="Z222" s="1"/>
      <c r="AA222" s="1"/>
      <c r="AB222" s="1"/>
      <c r="AC222" s="1"/>
      <c r="AD222" s="1"/>
      <c r="AE222" s="1"/>
    </row>
    <row r="223" customFormat="false" ht="36" hidden="false" customHeight="true" outlineLevel="0" collapsed="false">
      <c r="P223" s="1"/>
      <c r="Q223" s="1"/>
      <c r="R223" s="1"/>
      <c r="S223" s="1"/>
      <c r="T223" s="1"/>
      <c r="U223" s="1"/>
      <c r="V223" s="1"/>
      <c r="W223" s="1"/>
      <c r="X223" s="1"/>
      <c r="Y223" s="1"/>
      <c r="Z223" s="1"/>
      <c r="AA223" s="1"/>
      <c r="AB223" s="1"/>
      <c r="AC223" s="1"/>
      <c r="AD223" s="1"/>
      <c r="AE223" s="1"/>
    </row>
    <row r="224" customFormat="false" ht="36" hidden="false" customHeight="true" outlineLevel="0" collapsed="false">
      <c r="P224" s="1"/>
      <c r="Q224" s="1"/>
      <c r="R224" s="1"/>
      <c r="S224" s="1"/>
      <c r="T224" s="1"/>
      <c r="U224" s="1"/>
      <c r="V224" s="1"/>
      <c r="W224" s="1"/>
      <c r="X224" s="1"/>
      <c r="Y224" s="1"/>
      <c r="Z224" s="1"/>
      <c r="AA224" s="1"/>
      <c r="AB224" s="1"/>
      <c r="AC224" s="1"/>
      <c r="AD224" s="1"/>
      <c r="AE224" s="1"/>
    </row>
    <row r="225" customFormat="false" ht="36" hidden="false" customHeight="true" outlineLevel="0" collapsed="false">
      <c r="P225" s="1"/>
      <c r="Q225" s="1"/>
      <c r="R225" s="1"/>
      <c r="S225" s="1"/>
      <c r="T225" s="1"/>
      <c r="U225" s="1"/>
      <c r="V225" s="1"/>
      <c r="W225" s="1"/>
      <c r="X225" s="1"/>
      <c r="Y225" s="1"/>
      <c r="Z225" s="1"/>
      <c r="AA225" s="1"/>
      <c r="AB225" s="1"/>
      <c r="AC225" s="1"/>
      <c r="AD225" s="1"/>
      <c r="AE225" s="1"/>
    </row>
    <row r="226" customFormat="false" ht="15.75" hidden="false" customHeight="true" outlineLevel="0" collapsed="false">
      <c r="P226" s="1"/>
      <c r="Q226" s="1"/>
      <c r="R226" s="1"/>
      <c r="S226" s="1"/>
      <c r="T226" s="1"/>
      <c r="U226" s="1"/>
      <c r="V226" s="1"/>
      <c r="W226" s="1"/>
      <c r="X226" s="1"/>
      <c r="Y226" s="1"/>
      <c r="Z226" s="1"/>
      <c r="AA226" s="1"/>
      <c r="AB226" s="1"/>
      <c r="AC226" s="1"/>
      <c r="AD226" s="1"/>
      <c r="AE226" s="1"/>
    </row>
    <row r="227" customFormat="false" ht="15.75" hidden="false" customHeight="true" outlineLevel="0" collapsed="false">
      <c r="P227" s="1"/>
      <c r="Q227" s="1"/>
      <c r="R227" s="1"/>
      <c r="S227" s="1"/>
      <c r="T227" s="1"/>
      <c r="U227" s="1"/>
      <c r="V227" s="1"/>
      <c r="W227" s="1"/>
      <c r="X227" s="1"/>
      <c r="Y227" s="1"/>
      <c r="Z227" s="1"/>
      <c r="AA227" s="1"/>
      <c r="AB227" s="1"/>
      <c r="AC227" s="1"/>
      <c r="AD227" s="1"/>
      <c r="AE227" s="1"/>
    </row>
    <row r="228" customFormat="false" ht="15.75" hidden="false" customHeight="true" outlineLevel="0" collapsed="false">
      <c r="P228" s="1"/>
      <c r="Q228" s="1"/>
      <c r="R228" s="1"/>
      <c r="S228" s="1"/>
      <c r="T228" s="1"/>
      <c r="U228" s="1"/>
      <c r="V228" s="1"/>
      <c r="W228" s="1"/>
      <c r="X228" s="1"/>
      <c r="Y228" s="1"/>
      <c r="Z228" s="1"/>
      <c r="AA228" s="1"/>
      <c r="AB228" s="1"/>
      <c r="AC228" s="1"/>
      <c r="AD228" s="1"/>
      <c r="AE228" s="1"/>
    </row>
    <row r="229" customFormat="false" ht="15.75" hidden="false" customHeight="true" outlineLevel="0" collapsed="false">
      <c r="P229" s="1"/>
      <c r="Q229" s="1"/>
      <c r="R229" s="1"/>
      <c r="S229" s="1"/>
      <c r="T229" s="1"/>
      <c r="U229" s="1"/>
      <c r="V229" s="1"/>
      <c r="W229" s="1"/>
      <c r="X229" s="1"/>
      <c r="Y229" s="1"/>
      <c r="Z229" s="1"/>
      <c r="AA229" s="1"/>
      <c r="AB229" s="1"/>
      <c r="AC229" s="1"/>
      <c r="AD229" s="1"/>
      <c r="AE229" s="1"/>
    </row>
    <row r="230" customFormat="false" ht="15.75" hidden="false" customHeight="true" outlineLevel="0" collapsed="false">
      <c r="P230" s="1"/>
      <c r="Q230" s="1"/>
      <c r="R230" s="1"/>
      <c r="S230" s="1"/>
      <c r="T230" s="1"/>
      <c r="U230" s="1"/>
      <c r="V230" s="1"/>
      <c r="W230" s="1"/>
      <c r="X230" s="1"/>
      <c r="Y230" s="1"/>
      <c r="Z230" s="1"/>
      <c r="AA230" s="1"/>
      <c r="AB230" s="1"/>
      <c r="AC230" s="1"/>
      <c r="AD230" s="1"/>
      <c r="AE230" s="1"/>
    </row>
    <row r="231" customFormat="false" ht="15.75" hidden="false" customHeight="true" outlineLevel="0" collapsed="false">
      <c r="P231" s="1"/>
      <c r="Q231" s="1"/>
      <c r="R231" s="1"/>
      <c r="S231" s="1"/>
      <c r="T231" s="1"/>
      <c r="U231" s="1"/>
      <c r="V231" s="1"/>
      <c r="W231" s="1"/>
      <c r="X231" s="1"/>
      <c r="Y231" s="1"/>
      <c r="Z231" s="1"/>
      <c r="AA231" s="1"/>
      <c r="AB231" s="1"/>
      <c r="AC231" s="1"/>
      <c r="AD231" s="1"/>
      <c r="AE231" s="1"/>
    </row>
    <row r="232" customFormat="false" ht="15.75" hidden="false" customHeight="true" outlineLevel="0" collapsed="false">
      <c r="P232" s="1"/>
      <c r="Q232" s="1"/>
      <c r="R232" s="1"/>
      <c r="S232" s="1"/>
      <c r="T232" s="1"/>
      <c r="U232" s="1"/>
      <c r="V232" s="1"/>
      <c r="W232" s="1"/>
      <c r="X232" s="1"/>
      <c r="Y232" s="1"/>
      <c r="Z232" s="1"/>
      <c r="AA232" s="1"/>
      <c r="AB232" s="1"/>
      <c r="AC232" s="1"/>
      <c r="AD232" s="1"/>
      <c r="AE232" s="1"/>
    </row>
    <row r="233" customFormat="false" ht="15.75" hidden="false" customHeight="true" outlineLevel="0" collapsed="false">
      <c r="P233" s="1"/>
      <c r="Q233" s="1"/>
      <c r="R233" s="1"/>
      <c r="S233" s="1"/>
      <c r="T233" s="1"/>
      <c r="U233" s="1"/>
      <c r="V233" s="1"/>
      <c r="W233" s="1"/>
      <c r="X233" s="1"/>
      <c r="Y233" s="1"/>
      <c r="Z233" s="1"/>
      <c r="AA233" s="1"/>
      <c r="AB233" s="1"/>
      <c r="AC233" s="1"/>
      <c r="AD233" s="1"/>
      <c r="AE233" s="1"/>
    </row>
    <row r="234" customFormat="false" ht="15.75" hidden="false" customHeight="true" outlineLevel="0" collapsed="false">
      <c r="P234" s="1"/>
      <c r="Q234" s="1"/>
      <c r="R234" s="1"/>
      <c r="S234" s="1"/>
      <c r="T234" s="1"/>
      <c r="U234" s="1"/>
      <c r="V234" s="1"/>
      <c r="W234" s="1"/>
      <c r="X234" s="1"/>
      <c r="Y234" s="1"/>
      <c r="Z234" s="1"/>
      <c r="AA234" s="1"/>
      <c r="AB234" s="1"/>
      <c r="AC234" s="1"/>
      <c r="AD234" s="1"/>
      <c r="AE234" s="1"/>
    </row>
    <row r="235" customFormat="false" ht="15.75" hidden="false" customHeight="true" outlineLevel="0" collapsed="false">
      <c r="P235" s="1"/>
      <c r="Q235" s="1"/>
      <c r="R235" s="1"/>
      <c r="S235" s="1"/>
      <c r="T235" s="1"/>
      <c r="U235" s="1"/>
      <c r="V235" s="1"/>
      <c r="W235" s="1"/>
      <c r="X235" s="1"/>
      <c r="Y235" s="1"/>
      <c r="Z235" s="1"/>
      <c r="AA235" s="1"/>
      <c r="AB235" s="1"/>
      <c r="AC235" s="1"/>
      <c r="AD235" s="1"/>
      <c r="AE235" s="1"/>
    </row>
    <row r="236" customFormat="false" ht="15.75" hidden="false" customHeight="true" outlineLevel="0" collapsed="false">
      <c r="P236" s="1"/>
      <c r="Q236" s="1"/>
      <c r="R236" s="1"/>
      <c r="S236" s="1"/>
      <c r="T236" s="1"/>
      <c r="U236" s="1"/>
      <c r="V236" s="1"/>
      <c r="W236" s="1"/>
      <c r="X236" s="1"/>
      <c r="Y236" s="1"/>
      <c r="Z236" s="1"/>
      <c r="AA236" s="1"/>
      <c r="AB236" s="1"/>
      <c r="AC236" s="1"/>
      <c r="AD236" s="1"/>
      <c r="AE236" s="1"/>
    </row>
    <row r="237" customFormat="false" ht="15.75" hidden="false" customHeight="true" outlineLevel="0" collapsed="false">
      <c r="P237" s="1"/>
      <c r="Q237" s="1"/>
      <c r="R237" s="1"/>
      <c r="S237" s="1"/>
      <c r="T237" s="1"/>
      <c r="U237" s="1"/>
      <c r="V237" s="1"/>
      <c r="W237" s="1"/>
      <c r="X237" s="1"/>
      <c r="Y237" s="1"/>
      <c r="Z237" s="1"/>
      <c r="AA237" s="1"/>
      <c r="AB237" s="1"/>
      <c r="AC237" s="1"/>
      <c r="AD237" s="1"/>
      <c r="AE237" s="1"/>
    </row>
    <row r="238" customFormat="false" ht="15.75" hidden="false" customHeight="true" outlineLevel="0" collapsed="false">
      <c r="P238" s="1"/>
      <c r="Q238" s="1"/>
      <c r="R238" s="1"/>
      <c r="S238" s="1"/>
      <c r="T238" s="1"/>
      <c r="U238" s="1"/>
      <c r="V238" s="1"/>
      <c r="W238" s="1"/>
      <c r="X238" s="1"/>
      <c r="Y238" s="1"/>
      <c r="Z238" s="1"/>
      <c r="AA238" s="1"/>
      <c r="AB238" s="1"/>
      <c r="AC238" s="1"/>
      <c r="AD238" s="1"/>
      <c r="AE238" s="1"/>
    </row>
    <row r="239" customFormat="false" ht="15.75" hidden="false" customHeight="true" outlineLevel="0" collapsed="false">
      <c r="P239" s="1"/>
      <c r="Q239" s="1"/>
      <c r="R239" s="1"/>
      <c r="S239" s="1"/>
      <c r="T239" s="1"/>
      <c r="U239" s="1"/>
      <c r="V239" s="1"/>
      <c r="W239" s="1"/>
      <c r="X239" s="1"/>
      <c r="Y239" s="1"/>
      <c r="Z239" s="1"/>
      <c r="AA239" s="1"/>
      <c r="AB239" s="1"/>
      <c r="AC239" s="1"/>
      <c r="AD239" s="1"/>
      <c r="AE239" s="1"/>
    </row>
    <row r="240" customFormat="false" ht="15.75" hidden="false" customHeight="true" outlineLevel="0" collapsed="false">
      <c r="P240" s="1"/>
      <c r="Q240" s="1"/>
      <c r="R240" s="1"/>
      <c r="S240" s="1"/>
      <c r="T240" s="1"/>
      <c r="U240" s="1"/>
      <c r="V240" s="1"/>
      <c r="W240" s="1"/>
      <c r="X240" s="1"/>
      <c r="Y240" s="1"/>
      <c r="Z240" s="1"/>
      <c r="AA240" s="1"/>
      <c r="AB240" s="1"/>
      <c r="AC240" s="1"/>
      <c r="AD240" s="1"/>
      <c r="AE240" s="1"/>
    </row>
    <row r="241" customFormat="false" ht="15.75" hidden="false" customHeight="true" outlineLevel="0" collapsed="false">
      <c r="P241" s="1"/>
      <c r="Q241" s="1"/>
      <c r="R241" s="1"/>
      <c r="S241" s="1"/>
      <c r="T241" s="1"/>
      <c r="U241" s="1"/>
      <c r="V241" s="1"/>
      <c r="W241" s="1"/>
      <c r="X241" s="1"/>
      <c r="Y241" s="1"/>
      <c r="Z241" s="1"/>
      <c r="AA241" s="1"/>
      <c r="AB241" s="1"/>
      <c r="AC241" s="1"/>
      <c r="AD241" s="1"/>
      <c r="AE241" s="1"/>
    </row>
    <row r="242" customFormat="false" ht="15.75" hidden="false" customHeight="true" outlineLevel="0" collapsed="false">
      <c r="P242" s="1"/>
      <c r="Q242" s="1"/>
      <c r="R242" s="1"/>
      <c r="S242" s="1"/>
      <c r="T242" s="1"/>
      <c r="U242" s="1"/>
      <c r="V242" s="1"/>
      <c r="W242" s="1"/>
      <c r="X242" s="1"/>
      <c r="Y242" s="1"/>
      <c r="Z242" s="1"/>
      <c r="AA242" s="1"/>
      <c r="AB242" s="1"/>
      <c r="AC242" s="1"/>
      <c r="AD242" s="1"/>
      <c r="AE242" s="1"/>
    </row>
    <row r="243" customFormat="false" ht="15.75" hidden="false" customHeight="true" outlineLevel="0" collapsed="false">
      <c r="P243" s="1"/>
      <c r="Q243" s="1"/>
      <c r="R243" s="1"/>
      <c r="S243" s="1"/>
      <c r="T243" s="1"/>
      <c r="U243" s="1"/>
      <c r="V243" s="1"/>
      <c r="W243" s="1"/>
      <c r="X243" s="1"/>
      <c r="Y243" s="1"/>
      <c r="Z243" s="1"/>
      <c r="AA243" s="1"/>
      <c r="AB243" s="1"/>
      <c r="AC243" s="1"/>
      <c r="AD243" s="1"/>
      <c r="AE243" s="1"/>
    </row>
    <row r="244" customFormat="false" ht="15.75" hidden="false" customHeight="true" outlineLevel="0" collapsed="false">
      <c r="P244" s="1"/>
      <c r="Q244" s="1"/>
      <c r="R244" s="1"/>
      <c r="S244" s="1"/>
      <c r="T244" s="1"/>
      <c r="U244" s="1"/>
      <c r="V244" s="1"/>
      <c r="W244" s="1"/>
      <c r="X244" s="1"/>
      <c r="Y244" s="1"/>
      <c r="Z244" s="1"/>
      <c r="AA244" s="1"/>
      <c r="AB244" s="1"/>
      <c r="AC244" s="1"/>
      <c r="AD244" s="1"/>
      <c r="AE244" s="1"/>
    </row>
    <row r="245" customFormat="false" ht="15.75" hidden="false" customHeight="true" outlineLevel="0" collapsed="false">
      <c r="P245" s="1"/>
      <c r="Q245" s="1"/>
      <c r="R245" s="1"/>
      <c r="S245" s="1"/>
      <c r="T245" s="1"/>
      <c r="U245" s="1"/>
      <c r="V245" s="1"/>
      <c r="W245" s="1"/>
      <c r="X245" s="1"/>
      <c r="Y245" s="1"/>
      <c r="Z245" s="1"/>
      <c r="AA245" s="1"/>
      <c r="AB245" s="1"/>
      <c r="AC245" s="1"/>
      <c r="AD245" s="1"/>
      <c r="AE245" s="1"/>
    </row>
    <row r="246" customFormat="false" ht="15.75" hidden="false" customHeight="true" outlineLevel="0" collapsed="false">
      <c r="P246" s="1"/>
      <c r="Q246" s="1"/>
      <c r="R246" s="1"/>
      <c r="S246" s="1"/>
      <c r="T246" s="1"/>
      <c r="U246" s="1"/>
      <c r="V246" s="1"/>
      <c r="W246" s="1"/>
      <c r="X246" s="1"/>
      <c r="Y246" s="1"/>
      <c r="Z246" s="1"/>
      <c r="AA246" s="1"/>
      <c r="AB246" s="1"/>
      <c r="AC246" s="1"/>
      <c r="AD246" s="1"/>
      <c r="AE246" s="1"/>
    </row>
    <row r="247" customFormat="false" ht="15.75" hidden="false" customHeight="true" outlineLevel="0" collapsed="false">
      <c r="P247" s="1"/>
      <c r="Q247" s="1"/>
      <c r="R247" s="1"/>
      <c r="S247" s="1"/>
      <c r="T247" s="1"/>
      <c r="U247" s="1"/>
      <c r="V247" s="1"/>
      <c r="W247" s="1"/>
      <c r="X247" s="1"/>
      <c r="Y247" s="1"/>
      <c r="Z247" s="1"/>
      <c r="AA247" s="1"/>
      <c r="AB247" s="1"/>
      <c r="AC247" s="1"/>
      <c r="AD247" s="1"/>
      <c r="AE247" s="1"/>
    </row>
    <row r="248" customFormat="false" ht="15.75" hidden="false" customHeight="true" outlineLevel="0" collapsed="false">
      <c r="P248" s="1"/>
      <c r="Q248" s="1"/>
      <c r="R248" s="1"/>
      <c r="S248" s="1"/>
      <c r="T248" s="1"/>
      <c r="U248" s="1"/>
      <c r="V248" s="1"/>
      <c r="W248" s="1"/>
      <c r="X248" s="1"/>
      <c r="Y248" s="1"/>
      <c r="Z248" s="1"/>
      <c r="AA248" s="1"/>
      <c r="AB248" s="1"/>
      <c r="AC248" s="1"/>
      <c r="AD248" s="1"/>
      <c r="AE248" s="1"/>
    </row>
    <row r="249" customFormat="false" ht="15.75" hidden="false" customHeight="true" outlineLevel="0" collapsed="false">
      <c r="P249" s="1"/>
      <c r="Q249" s="1"/>
      <c r="R249" s="1"/>
      <c r="S249" s="1"/>
      <c r="T249" s="1"/>
      <c r="U249" s="1"/>
      <c r="V249" s="1"/>
      <c r="W249" s="1"/>
      <c r="X249" s="1"/>
      <c r="Y249" s="1"/>
      <c r="Z249" s="1"/>
      <c r="AA249" s="1"/>
      <c r="AB249" s="1"/>
      <c r="AC249" s="1"/>
      <c r="AD249" s="1"/>
      <c r="AE249" s="1"/>
    </row>
    <row r="250" customFormat="false" ht="15.75" hidden="false" customHeight="true" outlineLevel="0" collapsed="false">
      <c r="P250" s="1"/>
      <c r="Q250" s="1"/>
      <c r="R250" s="1"/>
      <c r="S250" s="1"/>
      <c r="T250" s="1"/>
      <c r="U250" s="1"/>
      <c r="V250" s="1"/>
      <c r="W250" s="1"/>
      <c r="X250" s="1"/>
      <c r="Y250" s="1"/>
      <c r="Z250" s="1"/>
      <c r="AA250" s="1"/>
      <c r="AB250" s="1"/>
      <c r="AC250" s="1"/>
      <c r="AD250" s="1"/>
      <c r="AE250" s="1"/>
    </row>
    <row r="251" customFormat="false" ht="15.75" hidden="false" customHeight="true" outlineLevel="0" collapsed="false">
      <c r="P251" s="1"/>
      <c r="Q251" s="1"/>
      <c r="R251" s="1"/>
      <c r="S251" s="1"/>
      <c r="T251" s="1"/>
      <c r="U251" s="1"/>
      <c r="V251" s="1"/>
      <c r="W251" s="1"/>
      <c r="X251" s="1"/>
      <c r="Y251" s="1"/>
      <c r="Z251" s="1"/>
      <c r="AA251" s="1"/>
      <c r="AB251" s="1"/>
      <c r="AC251" s="1"/>
      <c r="AD251" s="1"/>
      <c r="AE251" s="1"/>
    </row>
    <row r="252" customFormat="false" ht="15.75" hidden="false" customHeight="true" outlineLevel="0" collapsed="false">
      <c r="P252" s="1"/>
      <c r="Q252" s="1"/>
      <c r="R252" s="1"/>
      <c r="S252" s="1"/>
      <c r="T252" s="1"/>
      <c r="U252" s="1"/>
      <c r="V252" s="1"/>
      <c r="W252" s="1"/>
      <c r="X252" s="1"/>
      <c r="Y252" s="1"/>
      <c r="Z252" s="1"/>
      <c r="AA252" s="1"/>
      <c r="AB252" s="1"/>
      <c r="AC252" s="1"/>
      <c r="AD252" s="1"/>
      <c r="AE252" s="1"/>
    </row>
    <row r="253" customFormat="false" ht="15.75" hidden="false" customHeight="true" outlineLevel="0" collapsed="false">
      <c r="P253" s="1"/>
      <c r="Q253" s="1"/>
      <c r="R253" s="1"/>
      <c r="S253" s="1"/>
      <c r="T253" s="1"/>
      <c r="U253" s="1"/>
      <c r="V253" s="1"/>
      <c r="W253" s="1"/>
      <c r="X253" s="1"/>
      <c r="Y253" s="1"/>
      <c r="Z253" s="1"/>
      <c r="AA253" s="1"/>
      <c r="AB253" s="1"/>
      <c r="AC253" s="1"/>
      <c r="AD253" s="1"/>
      <c r="AE253" s="1"/>
    </row>
    <row r="254" customFormat="false" ht="15.75" hidden="false" customHeight="true" outlineLevel="0" collapsed="false">
      <c r="P254" s="1"/>
      <c r="Q254" s="1"/>
      <c r="R254" s="1"/>
      <c r="S254" s="1"/>
      <c r="T254" s="1"/>
      <c r="U254" s="1"/>
      <c r="V254" s="1"/>
      <c r="W254" s="1"/>
      <c r="X254" s="1"/>
      <c r="Y254" s="1"/>
      <c r="Z254" s="1"/>
      <c r="AA254" s="1"/>
      <c r="AB254" s="1"/>
      <c r="AC254" s="1"/>
      <c r="AD254" s="1"/>
      <c r="AE254" s="1"/>
    </row>
    <row r="255" customFormat="false" ht="15.75" hidden="false" customHeight="true" outlineLevel="0" collapsed="false">
      <c r="P255" s="1"/>
      <c r="Q255" s="1"/>
      <c r="R255" s="1"/>
      <c r="S255" s="1"/>
      <c r="T255" s="1"/>
      <c r="U255" s="1"/>
      <c r="V255" s="1"/>
      <c r="W255" s="1"/>
      <c r="X255" s="1"/>
      <c r="Y255" s="1"/>
      <c r="Z255" s="1"/>
      <c r="AA255" s="1"/>
      <c r="AB255" s="1"/>
      <c r="AC255" s="1"/>
      <c r="AD255" s="1"/>
      <c r="AE255" s="1"/>
    </row>
    <row r="256" customFormat="false" ht="15.75" hidden="false" customHeight="true" outlineLevel="0" collapsed="false">
      <c r="P256" s="1"/>
      <c r="Q256" s="1"/>
      <c r="R256" s="1"/>
      <c r="S256" s="1"/>
      <c r="T256" s="1"/>
      <c r="U256" s="1"/>
      <c r="V256" s="1"/>
      <c r="W256" s="1"/>
      <c r="X256" s="1"/>
      <c r="Y256" s="1"/>
      <c r="Z256" s="1"/>
      <c r="AA256" s="1"/>
      <c r="AB256" s="1"/>
      <c r="AC256" s="1"/>
      <c r="AD256" s="1"/>
      <c r="AE256" s="1"/>
    </row>
    <row r="257" customFormat="false" ht="15.75" hidden="false" customHeight="true" outlineLevel="0" collapsed="false">
      <c r="P257" s="1"/>
      <c r="Q257" s="1"/>
      <c r="R257" s="1"/>
      <c r="S257" s="1"/>
      <c r="T257" s="1"/>
      <c r="U257" s="1"/>
      <c r="V257" s="1"/>
      <c r="W257" s="1"/>
      <c r="X257" s="1"/>
      <c r="Y257" s="1"/>
      <c r="Z257" s="1"/>
      <c r="AA257" s="1"/>
      <c r="AB257" s="1"/>
      <c r="AC257" s="1"/>
      <c r="AD257" s="1"/>
      <c r="AE257" s="1"/>
    </row>
    <row r="258" customFormat="false" ht="15.75" hidden="false" customHeight="true" outlineLevel="0" collapsed="false">
      <c r="P258" s="1"/>
      <c r="Q258" s="1"/>
      <c r="R258" s="1"/>
      <c r="S258" s="1"/>
      <c r="T258" s="1"/>
      <c r="U258" s="1"/>
      <c r="V258" s="1"/>
      <c r="W258" s="1"/>
      <c r="X258" s="1"/>
      <c r="Y258" s="1"/>
      <c r="Z258" s="1"/>
      <c r="AA258" s="1"/>
      <c r="AB258" s="1"/>
      <c r="AC258" s="1"/>
      <c r="AD258" s="1"/>
      <c r="AE258" s="1"/>
    </row>
    <row r="259" customFormat="false" ht="15.75" hidden="false" customHeight="true" outlineLevel="0" collapsed="false">
      <c r="P259" s="1"/>
      <c r="Q259" s="1"/>
      <c r="R259" s="1"/>
      <c r="S259" s="1"/>
      <c r="T259" s="1"/>
      <c r="U259" s="1"/>
      <c r="V259" s="1"/>
      <c r="W259" s="1"/>
      <c r="X259" s="1"/>
      <c r="Y259" s="1"/>
      <c r="Z259" s="1"/>
      <c r="AA259" s="1"/>
      <c r="AB259" s="1"/>
      <c r="AC259" s="1"/>
      <c r="AD259" s="1"/>
      <c r="AE259" s="1"/>
    </row>
    <row r="260" customFormat="false" ht="15.75" hidden="false" customHeight="true" outlineLevel="0" collapsed="false">
      <c r="P260" s="1"/>
      <c r="Q260" s="1"/>
      <c r="R260" s="1"/>
      <c r="S260" s="1"/>
      <c r="T260" s="1"/>
      <c r="U260" s="1"/>
      <c r="V260" s="1"/>
      <c r="W260" s="1"/>
      <c r="X260" s="1"/>
      <c r="Y260" s="1"/>
      <c r="Z260" s="1"/>
      <c r="AA260" s="1"/>
      <c r="AB260" s="1"/>
      <c r="AC260" s="1"/>
      <c r="AD260" s="1"/>
      <c r="AE260" s="1"/>
    </row>
    <row r="261" customFormat="false" ht="15.75" hidden="false" customHeight="true" outlineLevel="0" collapsed="false">
      <c r="P261" s="1"/>
      <c r="Q261" s="1"/>
      <c r="R261" s="1"/>
      <c r="S261" s="1"/>
      <c r="T261" s="1"/>
      <c r="U261" s="1"/>
      <c r="V261" s="1"/>
      <c r="W261" s="1"/>
      <c r="X261" s="1"/>
      <c r="Y261" s="1"/>
      <c r="Z261" s="1"/>
      <c r="AA261" s="1"/>
      <c r="AB261" s="1"/>
      <c r="AC261" s="1"/>
      <c r="AD261" s="1"/>
      <c r="AE261" s="1"/>
    </row>
    <row r="262" customFormat="false" ht="15.75" hidden="false" customHeight="true" outlineLevel="0" collapsed="false">
      <c r="P262" s="1"/>
      <c r="Q262" s="1"/>
      <c r="R262" s="1"/>
      <c r="S262" s="1"/>
      <c r="T262" s="1"/>
      <c r="U262" s="1"/>
      <c r="V262" s="1"/>
      <c r="W262" s="1"/>
      <c r="X262" s="1"/>
      <c r="Y262" s="1"/>
      <c r="Z262" s="1"/>
      <c r="AA262" s="1"/>
      <c r="AB262" s="1"/>
      <c r="AC262" s="1"/>
      <c r="AD262" s="1"/>
      <c r="AE262" s="1"/>
    </row>
    <row r="263" customFormat="false" ht="15.75" hidden="false" customHeight="true" outlineLevel="0" collapsed="false">
      <c r="P263" s="1"/>
      <c r="Q263" s="1"/>
      <c r="R263" s="1"/>
      <c r="S263" s="1"/>
      <c r="T263" s="1"/>
      <c r="U263" s="1"/>
      <c r="V263" s="1"/>
      <c r="W263" s="1"/>
      <c r="X263" s="1"/>
      <c r="Y263" s="1"/>
      <c r="Z263" s="1"/>
      <c r="AA263" s="1"/>
      <c r="AB263" s="1"/>
      <c r="AC263" s="1"/>
      <c r="AD263" s="1"/>
      <c r="AE263" s="1"/>
    </row>
    <row r="264" customFormat="false" ht="15.75" hidden="false" customHeight="true" outlineLevel="0" collapsed="false">
      <c r="P264" s="1"/>
      <c r="Q264" s="1"/>
      <c r="R264" s="1"/>
      <c r="S264" s="1"/>
      <c r="T264" s="1"/>
      <c r="U264" s="1"/>
      <c r="V264" s="1"/>
      <c r="W264" s="1"/>
      <c r="X264" s="1"/>
      <c r="Y264" s="1"/>
      <c r="Z264" s="1"/>
      <c r="AA264" s="1"/>
      <c r="AB264" s="1"/>
      <c r="AC264" s="1"/>
      <c r="AD264" s="1"/>
      <c r="AE264" s="1"/>
    </row>
    <row r="265" customFormat="false" ht="15.75" hidden="false" customHeight="true" outlineLevel="0" collapsed="false">
      <c r="P265" s="1"/>
      <c r="Q265" s="1"/>
      <c r="R265" s="1"/>
      <c r="S265" s="1"/>
      <c r="T265" s="1"/>
      <c r="U265" s="1"/>
      <c r="V265" s="1"/>
      <c r="W265" s="1"/>
      <c r="X265" s="1"/>
      <c r="Y265" s="1"/>
      <c r="Z265" s="1"/>
      <c r="AA265" s="1"/>
      <c r="AB265" s="1"/>
      <c r="AC265" s="1"/>
      <c r="AD265" s="1"/>
      <c r="AE265" s="1"/>
    </row>
    <row r="266" customFormat="false" ht="15.75" hidden="false" customHeight="true" outlineLevel="0" collapsed="false">
      <c r="P266" s="1"/>
      <c r="Q266" s="1"/>
      <c r="R266" s="1"/>
      <c r="S266" s="1"/>
      <c r="T266" s="1"/>
      <c r="U266" s="1"/>
      <c r="V266" s="1"/>
      <c r="W266" s="1"/>
      <c r="X266" s="1"/>
      <c r="Y266" s="1"/>
      <c r="Z266" s="1"/>
      <c r="AA266" s="1"/>
      <c r="AB266" s="1"/>
      <c r="AC266" s="1"/>
      <c r="AD266" s="1"/>
      <c r="AE266" s="1"/>
    </row>
    <row r="267" customFormat="false" ht="15.75" hidden="false" customHeight="true" outlineLevel="0" collapsed="false">
      <c r="P267" s="1"/>
      <c r="Q267" s="1"/>
      <c r="R267" s="1"/>
      <c r="S267" s="1"/>
      <c r="T267" s="1"/>
      <c r="U267" s="1"/>
      <c r="V267" s="1"/>
      <c r="W267" s="1"/>
      <c r="X267" s="1"/>
      <c r="Y267" s="1"/>
      <c r="Z267" s="1"/>
      <c r="AA267" s="1"/>
      <c r="AB267" s="1"/>
      <c r="AC267" s="1"/>
      <c r="AD267" s="1"/>
      <c r="AE267" s="1"/>
    </row>
    <row r="268" customFormat="false" ht="15.75" hidden="false" customHeight="true" outlineLevel="0" collapsed="false">
      <c r="P268" s="1"/>
      <c r="Q268" s="1"/>
      <c r="R268" s="1"/>
      <c r="S268" s="1"/>
      <c r="T268" s="1"/>
      <c r="U268" s="1"/>
      <c r="V268" s="1"/>
      <c r="W268" s="1"/>
      <c r="X268" s="1"/>
      <c r="Y268" s="1"/>
      <c r="Z268" s="1"/>
      <c r="AA268" s="1"/>
      <c r="AB268" s="1"/>
      <c r="AC268" s="1"/>
      <c r="AD268" s="1"/>
      <c r="AE268" s="1"/>
    </row>
    <row r="269" customFormat="false" ht="15.75" hidden="false" customHeight="true" outlineLevel="0" collapsed="false">
      <c r="P269" s="1"/>
      <c r="Q269" s="1"/>
      <c r="R269" s="1"/>
      <c r="S269" s="1"/>
      <c r="T269" s="1"/>
      <c r="U269" s="1"/>
      <c r="V269" s="1"/>
      <c r="W269" s="1"/>
      <c r="X269" s="1"/>
      <c r="Y269" s="1"/>
      <c r="Z269" s="1"/>
      <c r="AA269" s="1"/>
      <c r="AB269" s="1"/>
      <c r="AC269" s="1"/>
      <c r="AD269" s="1"/>
      <c r="AE269" s="1"/>
    </row>
    <row r="270" customFormat="false" ht="15.75" hidden="false" customHeight="true" outlineLevel="0" collapsed="false">
      <c r="P270" s="1"/>
      <c r="Q270" s="1"/>
      <c r="R270" s="1"/>
      <c r="S270" s="1"/>
      <c r="T270" s="1"/>
      <c r="U270" s="1"/>
      <c r="V270" s="1"/>
      <c r="W270" s="1"/>
      <c r="X270" s="1"/>
      <c r="Y270" s="1"/>
      <c r="Z270" s="1"/>
      <c r="AA270" s="1"/>
      <c r="AB270" s="1"/>
      <c r="AC270" s="1"/>
      <c r="AD270" s="1"/>
      <c r="AE270" s="1"/>
    </row>
    <row r="271" customFormat="false" ht="15.75" hidden="false" customHeight="true" outlineLevel="0" collapsed="false">
      <c r="P271" s="1"/>
      <c r="Q271" s="1"/>
      <c r="R271" s="1"/>
      <c r="S271" s="1"/>
      <c r="T271" s="1"/>
      <c r="U271" s="1"/>
      <c r="V271" s="1"/>
      <c r="W271" s="1"/>
      <c r="X271" s="1"/>
      <c r="Y271" s="1"/>
      <c r="Z271" s="1"/>
      <c r="AA271" s="1"/>
      <c r="AB271" s="1"/>
      <c r="AC271" s="1"/>
      <c r="AD271" s="1"/>
      <c r="AE271" s="1"/>
    </row>
    <row r="272" customFormat="false" ht="15.75" hidden="false" customHeight="true" outlineLevel="0" collapsed="false">
      <c r="P272" s="1"/>
      <c r="Q272" s="1"/>
      <c r="R272" s="1"/>
      <c r="S272" s="1"/>
      <c r="T272" s="1"/>
      <c r="U272" s="1"/>
      <c r="V272" s="1"/>
      <c r="W272" s="1"/>
      <c r="X272" s="1"/>
      <c r="Y272" s="1"/>
      <c r="Z272" s="1"/>
      <c r="AA272" s="1"/>
      <c r="AB272" s="1"/>
      <c r="AC272" s="1"/>
      <c r="AD272" s="1"/>
      <c r="AE272" s="1"/>
    </row>
    <row r="273" customFormat="false" ht="15.75" hidden="false" customHeight="true" outlineLevel="0" collapsed="false">
      <c r="P273" s="1"/>
      <c r="Q273" s="1"/>
      <c r="R273" s="1"/>
      <c r="S273" s="1"/>
      <c r="T273" s="1"/>
      <c r="U273" s="1"/>
      <c r="V273" s="1"/>
      <c r="W273" s="1"/>
      <c r="X273" s="1"/>
      <c r="Y273" s="1"/>
      <c r="Z273" s="1"/>
      <c r="AA273" s="1"/>
      <c r="AB273" s="1"/>
      <c r="AC273" s="1"/>
      <c r="AD273" s="1"/>
      <c r="AE273" s="1"/>
    </row>
    <row r="274" customFormat="false" ht="15.75" hidden="false" customHeight="true" outlineLevel="0" collapsed="false">
      <c r="P274" s="1"/>
      <c r="Q274" s="1"/>
      <c r="R274" s="1"/>
      <c r="S274" s="1"/>
      <c r="T274" s="1"/>
      <c r="U274" s="1"/>
      <c r="V274" s="1"/>
      <c r="W274" s="1"/>
      <c r="X274" s="1"/>
      <c r="Y274" s="1"/>
      <c r="Z274" s="1"/>
      <c r="AA274" s="1"/>
      <c r="AB274" s="1"/>
      <c r="AC274" s="1"/>
      <c r="AD274" s="1"/>
      <c r="AE274" s="1"/>
    </row>
    <row r="275" customFormat="false" ht="15.75" hidden="false" customHeight="true" outlineLevel="0" collapsed="false">
      <c r="P275" s="1"/>
      <c r="Q275" s="1"/>
      <c r="R275" s="1"/>
      <c r="S275" s="1"/>
      <c r="T275" s="1"/>
      <c r="U275" s="1"/>
      <c r="V275" s="1"/>
      <c r="W275" s="1"/>
      <c r="X275" s="1"/>
      <c r="Y275" s="1"/>
      <c r="Z275" s="1"/>
      <c r="AA275" s="1"/>
      <c r="AB275" s="1"/>
      <c r="AC275" s="1"/>
      <c r="AD275" s="1"/>
      <c r="AE275" s="1"/>
    </row>
    <row r="276" customFormat="false" ht="15.75" hidden="false" customHeight="true" outlineLevel="0" collapsed="false">
      <c r="P276" s="1"/>
      <c r="Q276" s="1"/>
      <c r="R276" s="1"/>
      <c r="S276" s="1"/>
      <c r="T276" s="1"/>
      <c r="U276" s="1"/>
      <c r="V276" s="1"/>
      <c r="W276" s="1"/>
      <c r="X276" s="1"/>
      <c r="Y276" s="1"/>
      <c r="Z276" s="1"/>
      <c r="AA276" s="1"/>
      <c r="AB276" s="1"/>
      <c r="AC276" s="1"/>
      <c r="AD276" s="1"/>
      <c r="AE276" s="1"/>
    </row>
    <row r="277" customFormat="false" ht="15.75" hidden="false" customHeight="true" outlineLevel="0" collapsed="false">
      <c r="P277" s="1"/>
      <c r="Q277" s="1"/>
      <c r="R277" s="1"/>
      <c r="S277" s="1"/>
      <c r="T277" s="1"/>
      <c r="U277" s="1"/>
      <c r="V277" s="1"/>
      <c r="W277" s="1"/>
      <c r="X277" s="1"/>
      <c r="Y277" s="1"/>
      <c r="Z277" s="1"/>
      <c r="AA277" s="1"/>
      <c r="AB277" s="1"/>
      <c r="AC277" s="1"/>
      <c r="AD277" s="1"/>
      <c r="AE277" s="1"/>
    </row>
    <row r="278" customFormat="false" ht="15.75" hidden="false" customHeight="true" outlineLevel="0" collapsed="false">
      <c r="P278" s="1"/>
      <c r="Q278" s="1"/>
      <c r="R278" s="1"/>
      <c r="S278" s="1"/>
      <c r="T278" s="1"/>
      <c r="U278" s="1"/>
      <c r="V278" s="1"/>
      <c r="W278" s="1"/>
      <c r="X278" s="1"/>
      <c r="Y278" s="1"/>
      <c r="Z278" s="1"/>
      <c r="AA278" s="1"/>
      <c r="AB278" s="1"/>
      <c r="AC278" s="1"/>
      <c r="AD278" s="1"/>
      <c r="AE278" s="1"/>
    </row>
    <row r="279" customFormat="false" ht="15.75" hidden="false" customHeight="true" outlineLevel="0" collapsed="false">
      <c r="P279" s="1"/>
      <c r="Q279" s="1"/>
      <c r="R279" s="1"/>
      <c r="S279" s="1"/>
      <c r="T279" s="1"/>
      <c r="U279" s="1"/>
      <c r="V279" s="1"/>
      <c r="W279" s="1"/>
      <c r="X279" s="1"/>
      <c r="Y279" s="1"/>
      <c r="Z279" s="1"/>
      <c r="AA279" s="1"/>
      <c r="AB279" s="1"/>
      <c r="AC279" s="1"/>
      <c r="AD279" s="1"/>
      <c r="AE279" s="1"/>
    </row>
    <row r="280" customFormat="false" ht="15.75" hidden="false" customHeight="true" outlineLevel="0" collapsed="false">
      <c r="P280" s="1"/>
      <c r="Q280" s="1"/>
      <c r="R280" s="1"/>
      <c r="S280" s="1"/>
      <c r="T280" s="1"/>
      <c r="U280" s="1"/>
      <c r="V280" s="1"/>
      <c r="W280" s="1"/>
      <c r="X280" s="1"/>
      <c r="Y280" s="1"/>
      <c r="Z280" s="1"/>
      <c r="AA280" s="1"/>
      <c r="AB280" s="1"/>
      <c r="AC280" s="1"/>
      <c r="AD280" s="1"/>
      <c r="AE280" s="1"/>
    </row>
    <row r="281" customFormat="false" ht="15.75" hidden="false" customHeight="true" outlineLevel="0" collapsed="false">
      <c r="P281" s="1"/>
      <c r="Q281" s="1"/>
      <c r="R281" s="1"/>
      <c r="S281" s="1"/>
      <c r="T281" s="1"/>
      <c r="U281" s="1"/>
      <c r="V281" s="1"/>
      <c r="W281" s="1"/>
      <c r="X281" s="1"/>
      <c r="Y281" s="1"/>
      <c r="Z281" s="1"/>
      <c r="AA281" s="1"/>
      <c r="AB281" s="1"/>
      <c r="AC281" s="1"/>
      <c r="AD281" s="1"/>
      <c r="AE281" s="1"/>
    </row>
    <row r="282" customFormat="false" ht="15.75" hidden="false" customHeight="true" outlineLevel="0" collapsed="false">
      <c r="P282" s="1"/>
      <c r="Q282" s="1"/>
      <c r="R282" s="1"/>
      <c r="S282" s="1"/>
      <c r="T282" s="1"/>
      <c r="U282" s="1"/>
      <c r="V282" s="1"/>
      <c r="W282" s="1"/>
      <c r="X282" s="1"/>
      <c r="Y282" s="1"/>
      <c r="Z282" s="1"/>
      <c r="AA282" s="1"/>
      <c r="AB282" s="1"/>
      <c r="AC282" s="1"/>
      <c r="AD282" s="1"/>
      <c r="AE282" s="1"/>
    </row>
    <row r="283" customFormat="false" ht="15.75" hidden="false" customHeight="true" outlineLevel="0" collapsed="false">
      <c r="P283" s="1"/>
      <c r="Q283" s="1"/>
      <c r="R283" s="1"/>
      <c r="S283" s="1"/>
      <c r="T283" s="1"/>
      <c r="U283" s="1"/>
      <c r="V283" s="1"/>
      <c r="W283" s="1"/>
      <c r="X283" s="1"/>
      <c r="Y283" s="1"/>
      <c r="Z283" s="1"/>
      <c r="AA283" s="1"/>
      <c r="AB283" s="1"/>
      <c r="AC283" s="1"/>
      <c r="AD283" s="1"/>
      <c r="AE283" s="1"/>
    </row>
    <row r="284" customFormat="false" ht="15.75" hidden="false" customHeight="true" outlineLevel="0" collapsed="false">
      <c r="P284" s="1"/>
      <c r="Q284" s="1"/>
      <c r="R284" s="1"/>
      <c r="S284" s="1"/>
      <c r="T284" s="1"/>
      <c r="U284" s="1"/>
      <c r="V284" s="1"/>
      <c r="W284" s="1"/>
      <c r="X284" s="1"/>
      <c r="Y284" s="1"/>
      <c r="Z284" s="1"/>
      <c r="AA284" s="1"/>
      <c r="AB284" s="1"/>
      <c r="AC284" s="1"/>
      <c r="AD284" s="1"/>
      <c r="AE284" s="1"/>
    </row>
    <row r="285" customFormat="false" ht="15.75" hidden="false" customHeight="true" outlineLevel="0" collapsed="false">
      <c r="P285" s="1"/>
      <c r="Q285" s="1"/>
      <c r="R285" s="1"/>
      <c r="S285" s="1"/>
      <c r="T285" s="1"/>
      <c r="U285" s="1"/>
      <c r="V285" s="1"/>
      <c r="W285" s="1"/>
      <c r="X285" s="1"/>
      <c r="Y285" s="1"/>
      <c r="Z285" s="1"/>
      <c r="AA285" s="1"/>
      <c r="AB285" s="1"/>
      <c r="AC285" s="1"/>
      <c r="AD285" s="1"/>
      <c r="AE285" s="1"/>
    </row>
    <row r="286" customFormat="false" ht="15.75" hidden="false" customHeight="true" outlineLevel="0" collapsed="false">
      <c r="P286" s="1"/>
      <c r="Q286" s="1"/>
      <c r="R286" s="1"/>
      <c r="S286" s="1"/>
      <c r="T286" s="1"/>
      <c r="U286" s="1"/>
      <c r="V286" s="1"/>
      <c r="W286" s="1"/>
      <c r="X286" s="1"/>
      <c r="Y286" s="1"/>
      <c r="Z286" s="1"/>
      <c r="AA286" s="1"/>
      <c r="AB286" s="1"/>
      <c r="AC286" s="1"/>
      <c r="AD286" s="1"/>
      <c r="AE286" s="1"/>
    </row>
    <row r="287" customFormat="false" ht="15.75" hidden="false" customHeight="true" outlineLevel="0" collapsed="false">
      <c r="P287" s="1"/>
      <c r="Q287" s="1"/>
      <c r="R287" s="1"/>
      <c r="S287" s="1"/>
      <c r="T287" s="1"/>
      <c r="U287" s="1"/>
      <c r="V287" s="1"/>
      <c r="W287" s="1"/>
      <c r="X287" s="1"/>
      <c r="Y287" s="1"/>
      <c r="Z287" s="1"/>
      <c r="AA287" s="1"/>
      <c r="AB287" s="1"/>
      <c r="AC287" s="1"/>
      <c r="AD287" s="1"/>
      <c r="AE287" s="1"/>
    </row>
    <row r="288" customFormat="false" ht="15.75" hidden="false" customHeight="true" outlineLevel="0" collapsed="false">
      <c r="P288" s="1"/>
      <c r="Q288" s="1"/>
      <c r="R288" s="1"/>
      <c r="S288" s="1"/>
      <c r="T288" s="1"/>
      <c r="U288" s="1"/>
      <c r="V288" s="1"/>
      <c r="W288" s="1"/>
      <c r="X288" s="1"/>
      <c r="Y288" s="1"/>
      <c r="Z288" s="1"/>
      <c r="AA288" s="1"/>
      <c r="AB288" s="1"/>
      <c r="AC288" s="1"/>
      <c r="AD288" s="1"/>
      <c r="AE288" s="1"/>
    </row>
    <row r="289" customFormat="false" ht="15.75" hidden="false" customHeight="true" outlineLevel="0" collapsed="false">
      <c r="P289" s="1"/>
      <c r="Q289" s="1"/>
      <c r="R289" s="1"/>
      <c r="S289" s="1"/>
      <c r="T289" s="1"/>
      <c r="U289" s="1"/>
      <c r="V289" s="1"/>
      <c r="W289" s="1"/>
      <c r="X289" s="1"/>
      <c r="Y289" s="1"/>
      <c r="Z289" s="1"/>
      <c r="AA289" s="1"/>
      <c r="AB289" s="1"/>
      <c r="AC289" s="1"/>
      <c r="AD289" s="1"/>
      <c r="AE289" s="1"/>
    </row>
    <row r="290" customFormat="false" ht="15.75" hidden="false" customHeight="true" outlineLevel="0" collapsed="false">
      <c r="P290" s="1"/>
      <c r="Q290" s="1"/>
      <c r="R290" s="1"/>
      <c r="S290" s="1"/>
      <c r="T290" s="1"/>
      <c r="U290" s="1"/>
      <c r="V290" s="1"/>
      <c r="W290" s="1"/>
      <c r="X290" s="1"/>
      <c r="Y290" s="1"/>
      <c r="Z290" s="1"/>
      <c r="AA290" s="1"/>
      <c r="AB290" s="1"/>
      <c r="AC290" s="1"/>
      <c r="AD290" s="1"/>
      <c r="AE290" s="1"/>
    </row>
    <row r="291" customFormat="false" ht="15.75" hidden="false" customHeight="true" outlineLevel="0" collapsed="false">
      <c r="P291" s="1"/>
      <c r="Q291" s="1"/>
      <c r="R291" s="1"/>
      <c r="S291" s="1"/>
      <c r="T291" s="1"/>
      <c r="U291" s="1"/>
      <c r="V291" s="1"/>
      <c r="W291" s="1"/>
      <c r="X291" s="1"/>
      <c r="Y291" s="1"/>
      <c r="Z291" s="1"/>
      <c r="AA291" s="1"/>
      <c r="AB291" s="1"/>
      <c r="AC291" s="1"/>
      <c r="AD291" s="1"/>
      <c r="AE291" s="1"/>
    </row>
    <row r="292" customFormat="false" ht="15.75" hidden="false" customHeight="true" outlineLevel="0" collapsed="false">
      <c r="P292" s="1"/>
      <c r="Q292" s="1"/>
      <c r="R292" s="1"/>
      <c r="S292" s="1"/>
      <c r="T292" s="1"/>
      <c r="U292" s="1"/>
      <c r="V292" s="1"/>
      <c r="W292" s="1"/>
      <c r="X292" s="1"/>
      <c r="Y292" s="1"/>
      <c r="Z292" s="1"/>
      <c r="AA292" s="1"/>
      <c r="AB292" s="1"/>
      <c r="AC292" s="1"/>
      <c r="AD292" s="1"/>
      <c r="AE292" s="1"/>
    </row>
    <row r="293" customFormat="false" ht="15.75" hidden="false" customHeight="true" outlineLevel="0" collapsed="false">
      <c r="P293" s="1"/>
      <c r="Q293" s="1"/>
      <c r="R293" s="1"/>
      <c r="S293" s="1"/>
      <c r="T293" s="1"/>
      <c r="U293" s="1"/>
      <c r="V293" s="1"/>
      <c r="W293" s="1"/>
      <c r="X293" s="1"/>
      <c r="Y293" s="1"/>
      <c r="Z293" s="1"/>
      <c r="AA293" s="1"/>
      <c r="AB293" s="1"/>
      <c r="AC293" s="1"/>
      <c r="AD293" s="1"/>
      <c r="AE293" s="1"/>
    </row>
    <row r="294" customFormat="false" ht="15.75" hidden="false" customHeight="true" outlineLevel="0" collapsed="false">
      <c r="P294" s="1"/>
      <c r="Q294" s="1"/>
      <c r="R294" s="1"/>
      <c r="S294" s="1"/>
      <c r="T294" s="1"/>
      <c r="U294" s="1"/>
      <c r="V294" s="1"/>
      <c r="W294" s="1"/>
      <c r="X294" s="1"/>
      <c r="Y294" s="1"/>
      <c r="Z294" s="1"/>
      <c r="AA294" s="1"/>
      <c r="AB294" s="1"/>
      <c r="AC294" s="1"/>
      <c r="AD294" s="1"/>
      <c r="AE294" s="1"/>
    </row>
    <row r="295" customFormat="false" ht="15.75" hidden="false" customHeight="true" outlineLevel="0" collapsed="false">
      <c r="P295" s="1"/>
      <c r="Q295" s="1"/>
      <c r="R295" s="1"/>
      <c r="S295" s="1"/>
      <c r="T295" s="1"/>
      <c r="U295" s="1"/>
      <c r="V295" s="1"/>
      <c r="W295" s="1"/>
      <c r="X295" s="1"/>
      <c r="Y295" s="1"/>
      <c r="Z295" s="1"/>
      <c r="AA295" s="1"/>
      <c r="AB295" s="1"/>
      <c r="AC295" s="1"/>
      <c r="AD295" s="1"/>
      <c r="AE295" s="1"/>
    </row>
    <row r="296" customFormat="false" ht="15.75" hidden="false" customHeight="true" outlineLevel="0" collapsed="false">
      <c r="P296" s="1"/>
      <c r="Q296" s="1"/>
      <c r="R296" s="1"/>
      <c r="S296" s="1"/>
      <c r="T296" s="1"/>
      <c r="U296" s="1"/>
      <c r="V296" s="1"/>
      <c r="W296" s="1"/>
      <c r="X296" s="1"/>
      <c r="Y296" s="1"/>
      <c r="Z296" s="1"/>
      <c r="AA296" s="1"/>
      <c r="AB296" s="1"/>
      <c r="AC296" s="1"/>
      <c r="AD296" s="1"/>
      <c r="AE296" s="1"/>
    </row>
    <row r="297" customFormat="false" ht="15.75" hidden="false" customHeight="true" outlineLevel="0" collapsed="false">
      <c r="P297" s="1"/>
      <c r="Q297" s="1"/>
      <c r="R297" s="1"/>
      <c r="S297" s="1"/>
      <c r="T297" s="1"/>
      <c r="U297" s="1"/>
      <c r="V297" s="1"/>
      <c r="W297" s="1"/>
      <c r="X297" s="1"/>
      <c r="Y297" s="1"/>
      <c r="Z297" s="1"/>
      <c r="AA297" s="1"/>
      <c r="AB297" s="1"/>
      <c r="AC297" s="1"/>
      <c r="AD297" s="1"/>
      <c r="AE297" s="1"/>
    </row>
    <row r="298" customFormat="false" ht="15.75" hidden="false" customHeight="true" outlineLevel="0" collapsed="false">
      <c r="P298" s="1"/>
      <c r="Q298" s="1"/>
      <c r="R298" s="1"/>
      <c r="S298" s="1"/>
      <c r="T298" s="1"/>
      <c r="U298" s="1"/>
      <c r="V298" s="1"/>
      <c r="W298" s="1"/>
      <c r="X298" s="1"/>
      <c r="Y298" s="1"/>
      <c r="Z298" s="1"/>
      <c r="AA298" s="1"/>
      <c r="AB298" s="1"/>
      <c r="AC298" s="1"/>
      <c r="AD298" s="1"/>
      <c r="AE298" s="1"/>
    </row>
    <row r="299" customFormat="false" ht="15.75" hidden="false" customHeight="true" outlineLevel="0" collapsed="false">
      <c r="P299" s="1"/>
      <c r="Q299" s="1"/>
      <c r="R299" s="1"/>
      <c r="S299" s="1"/>
      <c r="T299" s="1"/>
      <c r="U299" s="1"/>
      <c r="V299" s="1"/>
      <c r="W299" s="1"/>
      <c r="X299" s="1"/>
      <c r="Y299" s="1"/>
      <c r="Z299" s="1"/>
      <c r="AA299" s="1"/>
      <c r="AB299" s="1"/>
      <c r="AC299" s="1"/>
      <c r="AD299" s="1"/>
      <c r="AE299" s="1"/>
    </row>
    <row r="300" customFormat="false" ht="15.75" hidden="false" customHeight="true" outlineLevel="0" collapsed="false">
      <c r="P300" s="1"/>
      <c r="Q300" s="1"/>
      <c r="R300" s="1"/>
      <c r="S300" s="1"/>
      <c r="T300" s="1"/>
      <c r="U300" s="1"/>
      <c r="V300" s="1"/>
      <c r="W300" s="1"/>
      <c r="X300" s="1"/>
      <c r="Y300" s="1"/>
      <c r="Z300" s="1"/>
      <c r="AA300" s="1"/>
      <c r="AB300" s="1"/>
      <c r="AC300" s="1"/>
      <c r="AD300" s="1"/>
      <c r="AE300" s="1"/>
    </row>
    <row r="301" customFormat="false" ht="15.75" hidden="false" customHeight="true" outlineLevel="0" collapsed="false">
      <c r="P301" s="1"/>
      <c r="Q301" s="1"/>
      <c r="R301" s="1"/>
      <c r="S301" s="1"/>
      <c r="T301" s="1"/>
      <c r="U301" s="1"/>
      <c r="V301" s="1"/>
      <c r="W301" s="1"/>
      <c r="X301" s="1"/>
      <c r="Y301" s="1"/>
      <c r="Z301" s="1"/>
      <c r="AA301" s="1"/>
      <c r="AB301" s="1"/>
      <c r="AC301" s="1"/>
      <c r="AD301" s="1"/>
      <c r="AE301" s="1"/>
    </row>
    <row r="302" customFormat="false" ht="15.75" hidden="false" customHeight="true" outlineLevel="0" collapsed="false">
      <c r="P302" s="1"/>
      <c r="Q302" s="1"/>
      <c r="R302" s="1"/>
      <c r="S302" s="1"/>
      <c r="T302" s="1"/>
      <c r="U302" s="1"/>
      <c r="V302" s="1"/>
      <c r="W302" s="1"/>
      <c r="X302" s="1"/>
      <c r="Y302" s="1"/>
      <c r="Z302" s="1"/>
      <c r="AA302" s="1"/>
      <c r="AB302" s="1"/>
      <c r="AC302" s="1"/>
      <c r="AD302" s="1"/>
      <c r="AE302" s="1"/>
    </row>
    <row r="303" customFormat="false" ht="15.75" hidden="false" customHeight="true" outlineLevel="0" collapsed="false">
      <c r="P303" s="1"/>
      <c r="Q303" s="1"/>
      <c r="R303" s="1"/>
      <c r="S303" s="1"/>
      <c r="T303" s="1"/>
      <c r="U303" s="1"/>
      <c r="V303" s="1"/>
      <c r="W303" s="1"/>
      <c r="X303" s="1"/>
      <c r="Y303" s="1"/>
      <c r="Z303" s="1"/>
      <c r="AA303" s="1"/>
      <c r="AB303" s="1"/>
      <c r="AC303" s="1"/>
      <c r="AD303" s="1"/>
      <c r="AE303" s="1"/>
    </row>
    <row r="304" customFormat="false" ht="15.75" hidden="false" customHeight="true" outlineLevel="0" collapsed="false">
      <c r="P304" s="1"/>
      <c r="Q304" s="1"/>
      <c r="R304" s="1"/>
      <c r="S304" s="1"/>
      <c r="T304" s="1"/>
      <c r="U304" s="1"/>
      <c r="V304" s="1"/>
      <c r="W304" s="1"/>
      <c r="X304" s="1"/>
      <c r="Y304" s="1"/>
      <c r="Z304" s="1"/>
      <c r="AA304" s="1"/>
      <c r="AB304" s="1"/>
      <c r="AC304" s="1"/>
      <c r="AD304" s="1"/>
      <c r="AE304" s="1"/>
    </row>
    <row r="305" customFormat="false" ht="15.75" hidden="false" customHeight="true" outlineLevel="0" collapsed="false">
      <c r="P305" s="1"/>
      <c r="Q305" s="1"/>
      <c r="R305" s="1"/>
      <c r="S305" s="1"/>
      <c r="T305" s="1"/>
      <c r="U305" s="1"/>
      <c r="V305" s="1"/>
      <c r="W305" s="1"/>
      <c r="X305" s="1"/>
      <c r="Y305" s="1"/>
      <c r="Z305" s="1"/>
      <c r="AA305" s="1"/>
      <c r="AB305" s="1"/>
      <c r="AC305" s="1"/>
      <c r="AD305" s="1"/>
      <c r="AE305" s="1"/>
    </row>
    <row r="306" customFormat="false" ht="15.75" hidden="false" customHeight="true" outlineLevel="0" collapsed="false">
      <c r="P306" s="1"/>
      <c r="Q306" s="1"/>
      <c r="R306" s="1"/>
      <c r="S306" s="1"/>
      <c r="T306" s="1"/>
      <c r="U306" s="1"/>
      <c r="V306" s="1"/>
      <c r="W306" s="1"/>
      <c r="X306" s="1"/>
      <c r="Y306" s="1"/>
      <c r="Z306" s="1"/>
      <c r="AA306" s="1"/>
      <c r="AB306" s="1"/>
      <c r="AC306" s="1"/>
      <c r="AD306" s="1"/>
      <c r="AE306" s="1"/>
    </row>
    <row r="307" customFormat="false" ht="15.75" hidden="false" customHeight="true" outlineLevel="0" collapsed="false">
      <c r="P307" s="1"/>
      <c r="Q307" s="1"/>
      <c r="R307" s="1"/>
      <c r="S307" s="1"/>
      <c r="T307" s="1"/>
      <c r="U307" s="1"/>
      <c r="V307" s="1"/>
      <c r="W307" s="1"/>
      <c r="X307" s="1"/>
      <c r="Y307" s="1"/>
      <c r="Z307" s="1"/>
      <c r="AA307" s="1"/>
      <c r="AB307" s="1"/>
      <c r="AC307" s="1"/>
      <c r="AD307" s="1"/>
      <c r="AE307" s="1"/>
    </row>
    <row r="308" customFormat="false" ht="15.75" hidden="false" customHeight="true" outlineLevel="0" collapsed="false">
      <c r="P308" s="1"/>
      <c r="Q308" s="1"/>
      <c r="R308" s="1"/>
      <c r="S308" s="1"/>
      <c r="T308" s="1"/>
      <c r="U308" s="1"/>
      <c r="V308" s="1"/>
      <c r="W308" s="1"/>
      <c r="X308" s="1"/>
      <c r="Y308" s="1"/>
      <c r="Z308" s="1"/>
      <c r="AA308" s="1"/>
      <c r="AB308" s="1"/>
      <c r="AC308" s="1"/>
      <c r="AD308" s="1"/>
      <c r="AE308" s="1"/>
    </row>
    <row r="309" customFormat="false" ht="15.75" hidden="false" customHeight="true" outlineLevel="0" collapsed="false">
      <c r="P309" s="1"/>
      <c r="Q309" s="1"/>
      <c r="R309" s="1"/>
      <c r="S309" s="1"/>
      <c r="T309" s="1"/>
      <c r="U309" s="1"/>
      <c r="V309" s="1"/>
      <c r="W309" s="1"/>
      <c r="X309" s="1"/>
      <c r="Y309" s="1"/>
      <c r="Z309" s="1"/>
      <c r="AA309" s="1"/>
      <c r="AB309" s="1"/>
      <c r="AC309" s="1"/>
      <c r="AD309" s="1"/>
      <c r="AE309" s="1"/>
    </row>
    <row r="310" customFormat="false" ht="15.75" hidden="false" customHeight="true" outlineLevel="0" collapsed="false">
      <c r="P310" s="1"/>
      <c r="Q310" s="1"/>
      <c r="R310" s="1"/>
      <c r="S310" s="1"/>
      <c r="T310" s="1"/>
      <c r="U310" s="1"/>
      <c r="V310" s="1"/>
      <c r="W310" s="1"/>
      <c r="X310" s="1"/>
      <c r="Y310" s="1"/>
      <c r="Z310" s="1"/>
      <c r="AA310" s="1"/>
      <c r="AB310" s="1"/>
      <c r="AC310" s="1"/>
      <c r="AD310" s="1"/>
      <c r="AE310" s="1"/>
    </row>
    <row r="311" customFormat="false" ht="15.75" hidden="false" customHeight="true" outlineLevel="0" collapsed="false">
      <c r="P311" s="1"/>
      <c r="Q311" s="1"/>
      <c r="R311" s="1"/>
      <c r="S311" s="1"/>
      <c r="T311" s="1"/>
      <c r="U311" s="1"/>
      <c r="V311" s="1"/>
      <c r="W311" s="1"/>
      <c r="X311" s="1"/>
      <c r="Y311" s="1"/>
      <c r="Z311" s="1"/>
      <c r="AA311" s="1"/>
      <c r="AB311" s="1"/>
      <c r="AC311" s="1"/>
      <c r="AD311" s="1"/>
      <c r="AE311" s="1"/>
    </row>
    <row r="312" customFormat="false" ht="15.75" hidden="false" customHeight="true" outlineLevel="0" collapsed="false">
      <c r="P312" s="1"/>
      <c r="Q312" s="1"/>
      <c r="R312" s="1"/>
      <c r="S312" s="1"/>
      <c r="T312" s="1"/>
      <c r="U312" s="1"/>
      <c r="V312" s="1"/>
      <c r="W312" s="1"/>
      <c r="X312" s="1"/>
      <c r="Y312" s="1"/>
      <c r="Z312" s="1"/>
      <c r="AA312" s="1"/>
      <c r="AB312" s="1"/>
      <c r="AC312" s="1"/>
      <c r="AD312" s="1"/>
      <c r="AE312" s="1"/>
    </row>
    <row r="313" customFormat="false" ht="15.75" hidden="false" customHeight="true" outlineLevel="0" collapsed="false">
      <c r="P313" s="1"/>
      <c r="Q313" s="1"/>
      <c r="R313" s="1"/>
      <c r="S313" s="1"/>
      <c r="T313" s="1"/>
      <c r="U313" s="1"/>
      <c r="V313" s="1"/>
      <c r="W313" s="1"/>
      <c r="X313" s="1"/>
      <c r="Y313" s="1"/>
      <c r="Z313" s="1"/>
      <c r="AA313" s="1"/>
      <c r="AB313" s="1"/>
      <c r="AC313" s="1"/>
      <c r="AD313" s="1"/>
      <c r="AE313" s="1"/>
    </row>
    <row r="314" customFormat="false" ht="15.75" hidden="false" customHeight="true" outlineLevel="0" collapsed="false">
      <c r="P314" s="1"/>
      <c r="Q314" s="1"/>
      <c r="R314" s="1"/>
      <c r="S314" s="1"/>
      <c r="T314" s="1"/>
      <c r="U314" s="1"/>
      <c r="V314" s="1"/>
      <c r="W314" s="1"/>
      <c r="X314" s="1"/>
      <c r="Y314" s="1"/>
      <c r="Z314" s="1"/>
      <c r="AA314" s="1"/>
      <c r="AB314" s="1"/>
      <c r="AC314" s="1"/>
      <c r="AD314" s="1"/>
      <c r="AE314" s="1"/>
    </row>
    <row r="315" customFormat="false" ht="15.75" hidden="false" customHeight="true" outlineLevel="0" collapsed="false">
      <c r="P315" s="1"/>
      <c r="Q315" s="1"/>
      <c r="R315" s="1"/>
      <c r="S315" s="1"/>
      <c r="T315" s="1"/>
      <c r="U315" s="1"/>
      <c r="V315" s="1"/>
      <c r="W315" s="1"/>
      <c r="X315" s="1"/>
      <c r="Y315" s="1"/>
      <c r="Z315" s="1"/>
      <c r="AA315" s="1"/>
      <c r="AB315" s="1"/>
      <c r="AC315" s="1"/>
      <c r="AD315" s="1"/>
      <c r="AE315" s="1"/>
    </row>
    <row r="316" customFormat="false" ht="15.75" hidden="false" customHeight="true" outlineLevel="0" collapsed="false">
      <c r="P316" s="1"/>
      <c r="Q316" s="1"/>
      <c r="R316" s="1"/>
      <c r="S316" s="1"/>
      <c r="T316" s="1"/>
      <c r="U316" s="1"/>
      <c r="V316" s="1"/>
      <c r="W316" s="1"/>
      <c r="X316" s="1"/>
      <c r="Y316" s="1"/>
      <c r="Z316" s="1"/>
      <c r="AA316" s="1"/>
      <c r="AB316" s="1"/>
      <c r="AC316" s="1"/>
      <c r="AD316" s="1"/>
      <c r="AE316" s="1"/>
    </row>
    <row r="317" customFormat="false" ht="15.75" hidden="false" customHeight="true" outlineLevel="0" collapsed="false">
      <c r="P317" s="1"/>
      <c r="Q317" s="1"/>
      <c r="R317" s="1"/>
      <c r="S317" s="1"/>
      <c r="T317" s="1"/>
      <c r="U317" s="1"/>
      <c r="V317" s="1"/>
      <c r="W317" s="1"/>
      <c r="X317" s="1"/>
      <c r="Y317" s="1"/>
      <c r="Z317" s="1"/>
      <c r="AA317" s="1"/>
      <c r="AB317" s="1"/>
      <c r="AC317" s="1"/>
      <c r="AD317" s="1"/>
      <c r="AE317" s="1"/>
    </row>
    <row r="318" customFormat="false" ht="15.75" hidden="false" customHeight="true" outlineLevel="0" collapsed="false">
      <c r="P318" s="1"/>
      <c r="Q318" s="1"/>
      <c r="R318" s="1"/>
      <c r="S318" s="1"/>
      <c r="T318" s="1"/>
      <c r="U318" s="1"/>
      <c r="V318" s="1"/>
      <c r="W318" s="1"/>
      <c r="X318" s="1"/>
      <c r="Y318" s="1"/>
      <c r="Z318" s="1"/>
      <c r="AA318" s="1"/>
      <c r="AB318" s="1"/>
      <c r="AC318" s="1"/>
      <c r="AD318" s="1"/>
      <c r="AE318" s="1"/>
    </row>
    <row r="319" customFormat="false" ht="15.75" hidden="false" customHeight="true" outlineLevel="0" collapsed="false">
      <c r="P319" s="1"/>
      <c r="Q319" s="1"/>
      <c r="R319" s="1"/>
      <c r="S319" s="1"/>
      <c r="T319" s="1"/>
      <c r="U319" s="1"/>
      <c r="V319" s="1"/>
      <c r="W319" s="1"/>
      <c r="X319" s="1"/>
      <c r="Y319" s="1"/>
      <c r="Z319" s="1"/>
      <c r="AA319" s="1"/>
      <c r="AB319" s="1"/>
      <c r="AC319" s="1"/>
      <c r="AD319" s="1"/>
      <c r="AE319" s="1"/>
    </row>
    <row r="320" customFormat="false" ht="15.75" hidden="false" customHeight="true" outlineLevel="0" collapsed="false">
      <c r="P320" s="1"/>
      <c r="Q320" s="1"/>
      <c r="R320" s="1"/>
      <c r="S320" s="1"/>
      <c r="T320" s="1"/>
      <c r="U320" s="1"/>
      <c r="V320" s="1"/>
      <c r="W320" s="1"/>
      <c r="X320" s="1"/>
      <c r="Y320" s="1"/>
      <c r="Z320" s="1"/>
      <c r="AA320" s="1"/>
      <c r="AB320" s="1"/>
      <c r="AC320" s="1"/>
      <c r="AD320" s="1"/>
      <c r="AE320" s="1"/>
    </row>
    <row r="321" customFormat="false" ht="15.75" hidden="false" customHeight="true" outlineLevel="0" collapsed="false">
      <c r="P321" s="1"/>
      <c r="Q321" s="1"/>
      <c r="R321" s="1"/>
      <c r="S321" s="1"/>
      <c r="T321" s="1"/>
      <c r="U321" s="1"/>
      <c r="V321" s="1"/>
      <c r="W321" s="1"/>
      <c r="X321" s="1"/>
      <c r="Y321" s="1"/>
      <c r="Z321" s="1"/>
      <c r="AA321" s="1"/>
      <c r="AB321" s="1"/>
      <c r="AC321" s="1"/>
      <c r="AD321" s="1"/>
      <c r="AE321" s="1"/>
    </row>
    <row r="322" customFormat="false" ht="15.75" hidden="false" customHeight="true" outlineLevel="0" collapsed="false">
      <c r="P322" s="1"/>
      <c r="Q322" s="1"/>
      <c r="R322" s="1"/>
      <c r="S322" s="1"/>
      <c r="T322" s="1"/>
      <c r="U322" s="1"/>
      <c r="V322" s="1"/>
      <c r="W322" s="1"/>
      <c r="X322" s="1"/>
      <c r="Y322" s="1"/>
      <c r="Z322" s="1"/>
      <c r="AA322" s="1"/>
      <c r="AB322" s="1"/>
      <c r="AC322" s="1"/>
      <c r="AD322" s="1"/>
      <c r="AE322" s="1"/>
    </row>
    <row r="323" customFormat="false" ht="15.75" hidden="false" customHeight="true" outlineLevel="0" collapsed="false">
      <c r="P323" s="1"/>
      <c r="Q323" s="1"/>
      <c r="R323" s="1"/>
      <c r="S323" s="1"/>
      <c r="T323" s="1"/>
      <c r="U323" s="1"/>
      <c r="V323" s="1"/>
      <c r="W323" s="1"/>
      <c r="X323" s="1"/>
      <c r="Y323" s="1"/>
      <c r="Z323" s="1"/>
      <c r="AA323" s="1"/>
      <c r="AB323" s="1"/>
      <c r="AC323" s="1"/>
      <c r="AD323" s="1"/>
      <c r="AE323" s="1"/>
    </row>
    <row r="324" customFormat="false" ht="15.75" hidden="false" customHeight="true" outlineLevel="0" collapsed="false">
      <c r="P324" s="1"/>
      <c r="Q324" s="1"/>
      <c r="R324" s="1"/>
      <c r="S324" s="1"/>
      <c r="T324" s="1"/>
      <c r="U324" s="1"/>
      <c r="V324" s="1"/>
      <c r="W324" s="1"/>
      <c r="X324" s="1"/>
      <c r="Y324" s="1"/>
      <c r="Z324" s="1"/>
      <c r="AA324" s="1"/>
      <c r="AB324" s="1"/>
      <c r="AC324" s="1"/>
      <c r="AD324" s="1"/>
      <c r="AE324" s="1"/>
    </row>
    <row r="325" customFormat="false" ht="15.75" hidden="false" customHeight="true" outlineLevel="0" collapsed="false">
      <c r="P325" s="1"/>
      <c r="Q325" s="1"/>
      <c r="R325" s="1"/>
      <c r="S325" s="1"/>
      <c r="T325" s="1"/>
      <c r="U325" s="1"/>
      <c r="V325" s="1"/>
      <c r="W325" s="1"/>
      <c r="X325" s="1"/>
      <c r="Y325" s="1"/>
      <c r="Z325" s="1"/>
      <c r="AA325" s="1"/>
      <c r="AB325" s="1"/>
      <c r="AC325" s="1"/>
      <c r="AD325" s="1"/>
      <c r="AE325" s="1"/>
    </row>
    <row r="326" customFormat="false" ht="15.75" hidden="false" customHeight="true" outlineLevel="0" collapsed="false">
      <c r="P326" s="1"/>
      <c r="Q326" s="1"/>
      <c r="R326" s="1"/>
      <c r="S326" s="1"/>
      <c r="T326" s="1"/>
      <c r="U326" s="1"/>
      <c r="V326" s="1"/>
      <c r="W326" s="1"/>
      <c r="X326" s="1"/>
      <c r="Y326" s="1"/>
      <c r="Z326" s="1"/>
      <c r="AA326" s="1"/>
      <c r="AB326" s="1"/>
      <c r="AC326" s="1"/>
      <c r="AD326" s="1"/>
      <c r="AE326" s="1"/>
    </row>
    <row r="327" customFormat="false" ht="15.75" hidden="false" customHeight="true" outlineLevel="0" collapsed="false">
      <c r="P327" s="1"/>
      <c r="Q327" s="1"/>
      <c r="R327" s="1"/>
      <c r="S327" s="1"/>
      <c r="T327" s="1"/>
      <c r="U327" s="1"/>
      <c r="V327" s="1"/>
      <c r="W327" s="1"/>
      <c r="X327" s="1"/>
      <c r="Y327" s="1"/>
      <c r="Z327" s="1"/>
      <c r="AA327" s="1"/>
      <c r="AB327" s="1"/>
      <c r="AC327" s="1"/>
      <c r="AD327" s="1"/>
      <c r="AE327" s="1"/>
    </row>
    <row r="328" customFormat="false" ht="15.75" hidden="false" customHeight="true" outlineLevel="0" collapsed="false">
      <c r="P328" s="1"/>
      <c r="Q328" s="1"/>
      <c r="R328" s="1"/>
      <c r="S328" s="1"/>
      <c r="T328" s="1"/>
      <c r="U328" s="1"/>
      <c r="V328" s="1"/>
      <c r="W328" s="1"/>
      <c r="X328" s="1"/>
      <c r="Y328" s="1"/>
      <c r="Z328" s="1"/>
      <c r="AA328" s="1"/>
      <c r="AB328" s="1"/>
      <c r="AC328" s="1"/>
      <c r="AD328" s="1"/>
      <c r="AE328" s="1"/>
    </row>
    <row r="329" customFormat="false" ht="15.75" hidden="false" customHeight="true" outlineLevel="0" collapsed="false">
      <c r="P329" s="1"/>
      <c r="Q329" s="1"/>
      <c r="R329" s="1"/>
      <c r="S329" s="1"/>
      <c r="T329" s="1"/>
      <c r="U329" s="1"/>
      <c r="V329" s="1"/>
      <c r="W329" s="1"/>
      <c r="X329" s="1"/>
      <c r="Y329" s="1"/>
      <c r="Z329" s="1"/>
      <c r="AA329" s="1"/>
      <c r="AB329" s="1"/>
      <c r="AC329" s="1"/>
      <c r="AD329" s="1"/>
      <c r="AE329" s="1"/>
    </row>
    <row r="330" customFormat="false" ht="15.75" hidden="false" customHeight="true" outlineLevel="0" collapsed="false">
      <c r="P330" s="1"/>
      <c r="Q330" s="1"/>
      <c r="R330" s="1"/>
      <c r="S330" s="1"/>
      <c r="T330" s="1"/>
      <c r="U330" s="1"/>
      <c r="V330" s="1"/>
      <c r="W330" s="1"/>
      <c r="X330" s="1"/>
      <c r="Y330" s="1"/>
      <c r="Z330" s="1"/>
      <c r="AA330" s="1"/>
      <c r="AB330" s="1"/>
      <c r="AC330" s="1"/>
      <c r="AD330" s="1"/>
      <c r="AE330" s="1"/>
    </row>
    <row r="331" customFormat="false" ht="15.75" hidden="false" customHeight="true" outlineLevel="0" collapsed="false">
      <c r="P331" s="1"/>
      <c r="Q331" s="1"/>
      <c r="R331" s="1"/>
      <c r="S331" s="1"/>
      <c r="T331" s="1"/>
      <c r="U331" s="1"/>
      <c r="V331" s="1"/>
      <c r="W331" s="1"/>
      <c r="X331" s="1"/>
      <c r="Y331" s="1"/>
      <c r="Z331" s="1"/>
      <c r="AA331" s="1"/>
      <c r="AB331" s="1"/>
      <c r="AC331" s="1"/>
      <c r="AD331" s="1"/>
      <c r="AE331" s="1"/>
    </row>
    <row r="332" customFormat="false" ht="15.75" hidden="false" customHeight="true" outlineLevel="0" collapsed="false">
      <c r="P332" s="1"/>
      <c r="Q332" s="1"/>
      <c r="R332" s="1"/>
      <c r="S332" s="1"/>
      <c r="T332" s="1"/>
      <c r="U332" s="1"/>
      <c r="V332" s="1"/>
      <c r="W332" s="1"/>
      <c r="X332" s="1"/>
      <c r="Y332" s="1"/>
      <c r="Z332" s="1"/>
      <c r="AA332" s="1"/>
      <c r="AB332" s="1"/>
      <c r="AC332" s="1"/>
      <c r="AD332" s="1"/>
      <c r="AE332" s="1"/>
    </row>
    <row r="333" customFormat="false" ht="15.75" hidden="false" customHeight="true" outlineLevel="0" collapsed="false">
      <c r="P333" s="1"/>
      <c r="Q333" s="1"/>
      <c r="R333" s="1"/>
      <c r="S333" s="1"/>
      <c r="T333" s="1"/>
      <c r="U333" s="1"/>
      <c r="V333" s="1"/>
      <c r="W333" s="1"/>
      <c r="X333" s="1"/>
      <c r="Y333" s="1"/>
      <c r="Z333" s="1"/>
      <c r="AA333" s="1"/>
      <c r="AB333" s="1"/>
      <c r="AC333" s="1"/>
      <c r="AD333" s="1"/>
      <c r="AE333" s="1"/>
    </row>
    <row r="334" customFormat="false" ht="15.75" hidden="false" customHeight="true" outlineLevel="0" collapsed="false">
      <c r="P334" s="1"/>
      <c r="Q334" s="1"/>
      <c r="R334" s="1"/>
      <c r="S334" s="1"/>
      <c r="T334" s="1"/>
      <c r="U334" s="1"/>
      <c r="V334" s="1"/>
      <c r="W334" s="1"/>
      <c r="X334" s="1"/>
      <c r="Y334" s="1"/>
      <c r="Z334" s="1"/>
      <c r="AA334" s="1"/>
      <c r="AB334" s="1"/>
      <c r="AC334" s="1"/>
      <c r="AD334" s="1"/>
      <c r="AE334" s="1"/>
    </row>
    <row r="335" customFormat="false" ht="15.75" hidden="false" customHeight="true" outlineLevel="0" collapsed="false">
      <c r="P335" s="1"/>
      <c r="Q335" s="1"/>
      <c r="R335" s="1"/>
      <c r="S335" s="1"/>
      <c r="T335" s="1"/>
      <c r="U335" s="1"/>
      <c r="V335" s="1"/>
      <c r="W335" s="1"/>
      <c r="X335" s="1"/>
      <c r="Y335" s="1"/>
      <c r="Z335" s="1"/>
      <c r="AA335" s="1"/>
      <c r="AB335" s="1"/>
      <c r="AC335" s="1"/>
      <c r="AD335" s="1"/>
      <c r="AE335" s="1"/>
    </row>
    <row r="336" customFormat="false" ht="15.75" hidden="false" customHeight="true" outlineLevel="0" collapsed="false">
      <c r="P336" s="1"/>
      <c r="Q336" s="1"/>
      <c r="R336" s="1"/>
      <c r="S336" s="1"/>
      <c r="T336" s="1"/>
      <c r="U336" s="1"/>
      <c r="V336" s="1"/>
      <c r="W336" s="1"/>
      <c r="X336" s="1"/>
      <c r="Y336" s="1"/>
      <c r="Z336" s="1"/>
      <c r="AA336" s="1"/>
      <c r="AB336" s="1"/>
      <c r="AC336" s="1"/>
      <c r="AD336" s="1"/>
      <c r="AE336" s="1"/>
    </row>
    <row r="337" customFormat="false" ht="15.75" hidden="false" customHeight="true" outlineLevel="0" collapsed="false">
      <c r="P337" s="1"/>
      <c r="Q337" s="1"/>
      <c r="R337" s="1"/>
      <c r="S337" s="1"/>
      <c r="T337" s="1"/>
      <c r="U337" s="1"/>
      <c r="V337" s="1"/>
      <c r="W337" s="1"/>
      <c r="X337" s="1"/>
      <c r="Y337" s="1"/>
      <c r="Z337" s="1"/>
      <c r="AA337" s="1"/>
      <c r="AB337" s="1"/>
      <c r="AC337" s="1"/>
      <c r="AD337" s="1"/>
      <c r="AE337" s="1"/>
    </row>
    <row r="338" customFormat="false" ht="15.75" hidden="false" customHeight="true" outlineLevel="0" collapsed="false">
      <c r="P338" s="1"/>
      <c r="Q338" s="1"/>
      <c r="R338" s="1"/>
      <c r="S338" s="1"/>
      <c r="T338" s="1"/>
      <c r="U338" s="1"/>
      <c r="V338" s="1"/>
      <c r="W338" s="1"/>
      <c r="X338" s="1"/>
      <c r="Y338" s="1"/>
      <c r="Z338" s="1"/>
      <c r="AA338" s="1"/>
      <c r="AB338" s="1"/>
      <c r="AC338" s="1"/>
      <c r="AD338" s="1"/>
      <c r="AE338" s="1"/>
    </row>
    <row r="339" customFormat="false" ht="15.75" hidden="false" customHeight="true" outlineLevel="0" collapsed="false">
      <c r="P339" s="1"/>
      <c r="Q339" s="1"/>
      <c r="R339" s="1"/>
      <c r="S339" s="1"/>
      <c r="T339" s="1"/>
      <c r="U339" s="1"/>
      <c r="V339" s="1"/>
      <c r="W339" s="1"/>
      <c r="X339" s="1"/>
      <c r="Y339" s="1"/>
      <c r="Z339" s="1"/>
      <c r="AA339" s="1"/>
      <c r="AB339" s="1"/>
      <c r="AC339" s="1"/>
      <c r="AD339" s="1"/>
      <c r="AE339" s="1"/>
    </row>
    <row r="340" customFormat="false" ht="15.75" hidden="false" customHeight="true" outlineLevel="0" collapsed="false">
      <c r="P340" s="1"/>
      <c r="Q340" s="1"/>
      <c r="R340" s="1"/>
      <c r="S340" s="1"/>
      <c r="T340" s="1"/>
      <c r="U340" s="1"/>
      <c r="V340" s="1"/>
      <c r="W340" s="1"/>
      <c r="X340" s="1"/>
      <c r="Y340" s="1"/>
      <c r="Z340" s="1"/>
      <c r="AA340" s="1"/>
      <c r="AB340" s="1"/>
      <c r="AC340" s="1"/>
      <c r="AD340" s="1"/>
      <c r="AE340" s="1"/>
    </row>
    <row r="341" customFormat="false" ht="15.75" hidden="false" customHeight="true" outlineLevel="0" collapsed="false">
      <c r="P341" s="1"/>
      <c r="Q341" s="1"/>
      <c r="R341" s="1"/>
      <c r="S341" s="1"/>
      <c r="T341" s="1"/>
      <c r="U341" s="1"/>
      <c r="V341" s="1"/>
      <c r="W341" s="1"/>
      <c r="X341" s="1"/>
      <c r="Y341" s="1"/>
      <c r="Z341" s="1"/>
      <c r="AA341" s="1"/>
      <c r="AB341" s="1"/>
      <c r="AC341" s="1"/>
      <c r="AD341" s="1"/>
      <c r="AE341" s="1"/>
    </row>
    <row r="342" customFormat="false" ht="15.75" hidden="false" customHeight="true" outlineLevel="0" collapsed="false">
      <c r="P342" s="1"/>
      <c r="Q342" s="1"/>
      <c r="R342" s="1"/>
      <c r="S342" s="1"/>
      <c r="T342" s="1"/>
      <c r="U342" s="1"/>
      <c r="V342" s="1"/>
      <c r="W342" s="1"/>
      <c r="X342" s="1"/>
      <c r="Y342" s="1"/>
      <c r="Z342" s="1"/>
      <c r="AA342" s="1"/>
      <c r="AB342" s="1"/>
      <c r="AC342" s="1"/>
      <c r="AD342" s="1"/>
      <c r="AE342" s="1"/>
    </row>
    <row r="343" customFormat="false" ht="15.75" hidden="false" customHeight="true" outlineLevel="0" collapsed="false">
      <c r="P343" s="1"/>
      <c r="Q343" s="1"/>
      <c r="R343" s="1"/>
      <c r="S343" s="1"/>
      <c r="T343" s="1"/>
      <c r="U343" s="1"/>
      <c r="V343" s="1"/>
      <c r="W343" s="1"/>
      <c r="X343" s="1"/>
      <c r="Y343" s="1"/>
      <c r="Z343" s="1"/>
      <c r="AA343" s="1"/>
      <c r="AB343" s="1"/>
      <c r="AC343" s="1"/>
      <c r="AD343" s="1"/>
      <c r="AE343" s="1"/>
    </row>
    <row r="344" customFormat="false" ht="15.75" hidden="false" customHeight="true" outlineLevel="0" collapsed="false">
      <c r="P344" s="1"/>
      <c r="Q344" s="1"/>
      <c r="R344" s="1"/>
      <c r="S344" s="1"/>
      <c r="T344" s="1"/>
      <c r="U344" s="1"/>
      <c r="V344" s="1"/>
      <c r="W344" s="1"/>
      <c r="X344" s="1"/>
      <c r="Y344" s="1"/>
      <c r="Z344" s="1"/>
      <c r="AA344" s="1"/>
      <c r="AB344" s="1"/>
      <c r="AC344" s="1"/>
      <c r="AD344" s="1"/>
      <c r="AE344" s="1"/>
    </row>
    <row r="345" customFormat="false" ht="15.75" hidden="false" customHeight="true" outlineLevel="0" collapsed="false">
      <c r="P345" s="1"/>
      <c r="Q345" s="1"/>
      <c r="R345" s="1"/>
      <c r="S345" s="1"/>
      <c r="T345" s="1"/>
      <c r="U345" s="1"/>
      <c r="V345" s="1"/>
      <c r="W345" s="1"/>
      <c r="X345" s="1"/>
      <c r="Y345" s="1"/>
      <c r="Z345" s="1"/>
      <c r="AA345" s="1"/>
      <c r="AB345" s="1"/>
      <c r="AC345" s="1"/>
      <c r="AD345" s="1"/>
      <c r="AE345" s="1"/>
    </row>
    <row r="346" customFormat="false" ht="15.75" hidden="false" customHeight="true" outlineLevel="0" collapsed="false">
      <c r="P346" s="1"/>
      <c r="Q346" s="1"/>
      <c r="R346" s="1"/>
      <c r="S346" s="1"/>
      <c r="T346" s="1"/>
      <c r="U346" s="1"/>
      <c r="V346" s="1"/>
      <c r="W346" s="1"/>
      <c r="X346" s="1"/>
      <c r="Y346" s="1"/>
      <c r="Z346" s="1"/>
      <c r="AA346" s="1"/>
      <c r="AB346" s="1"/>
      <c r="AC346" s="1"/>
      <c r="AD346" s="1"/>
      <c r="AE346" s="1"/>
    </row>
    <row r="347" customFormat="false" ht="15.75" hidden="false" customHeight="true" outlineLevel="0" collapsed="false">
      <c r="P347" s="1"/>
      <c r="Q347" s="1"/>
      <c r="R347" s="1"/>
      <c r="S347" s="1"/>
      <c r="T347" s="1"/>
      <c r="U347" s="1"/>
      <c r="V347" s="1"/>
      <c r="W347" s="1"/>
      <c r="X347" s="1"/>
      <c r="Y347" s="1"/>
      <c r="Z347" s="1"/>
      <c r="AA347" s="1"/>
      <c r="AB347" s="1"/>
      <c r="AC347" s="1"/>
      <c r="AD347" s="1"/>
      <c r="AE347" s="1"/>
    </row>
    <row r="348" customFormat="false" ht="15.75" hidden="false" customHeight="true" outlineLevel="0" collapsed="false">
      <c r="P348" s="1"/>
      <c r="Q348" s="1"/>
      <c r="R348" s="1"/>
      <c r="S348" s="1"/>
      <c r="T348" s="1"/>
      <c r="U348" s="1"/>
      <c r="V348" s="1"/>
      <c r="W348" s="1"/>
      <c r="X348" s="1"/>
      <c r="Y348" s="1"/>
      <c r="Z348" s="1"/>
      <c r="AA348" s="1"/>
      <c r="AB348" s="1"/>
      <c r="AC348" s="1"/>
      <c r="AD348" s="1"/>
      <c r="AE348" s="1"/>
    </row>
    <row r="349" customFormat="false" ht="15.75" hidden="false" customHeight="true" outlineLevel="0" collapsed="false">
      <c r="P349" s="1"/>
      <c r="Q349" s="1"/>
      <c r="R349" s="1"/>
      <c r="S349" s="1"/>
      <c r="T349" s="1"/>
      <c r="U349" s="1"/>
      <c r="V349" s="1"/>
      <c r="W349" s="1"/>
      <c r="X349" s="1"/>
      <c r="Y349" s="1"/>
      <c r="Z349" s="1"/>
      <c r="AA349" s="1"/>
      <c r="AB349" s="1"/>
      <c r="AC349" s="1"/>
      <c r="AD349" s="1"/>
      <c r="AE349" s="1"/>
    </row>
    <row r="350" customFormat="false" ht="15.75" hidden="false" customHeight="true" outlineLevel="0" collapsed="false">
      <c r="P350" s="1"/>
      <c r="Q350" s="1"/>
      <c r="R350" s="1"/>
      <c r="S350" s="1"/>
      <c r="T350" s="1"/>
      <c r="U350" s="1"/>
      <c r="V350" s="1"/>
      <c r="W350" s="1"/>
      <c r="X350" s="1"/>
      <c r="Y350" s="1"/>
      <c r="Z350" s="1"/>
      <c r="AA350" s="1"/>
      <c r="AB350" s="1"/>
      <c r="AC350" s="1"/>
      <c r="AD350" s="1"/>
      <c r="AE350" s="1"/>
    </row>
    <row r="351" customFormat="false" ht="15.75" hidden="false" customHeight="true" outlineLevel="0" collapsed="false">
      <c r="P351" s="1"/>
      <c r="Q351" s="1"/>
      <c r="R351" s="1"/>
      <c r="S351" s="1"/>
      <c r="T351" s="1"/>
      <c r="U351" s="1"/>
      <c r="V351" s="1"/>
      <c r="W351" s="1"/>
      <c r="X351" s="1"/>
      <c r="Y351" s="1"/>
      <c r="Z351" s="1"/>
      <c r="AA351" s="1"/>
      <c r="AB351" s="1"/>
      <c r="AC351" s="1"/>
      <c r="AD351" s="1"/>
      <c r="AE351" s="1"/>
    </row>
    <row r="352" customFormat="false" ht="15.75" hidden="false" customHeight="true" outlineLevel="0" collapsed="false">
      <c r="P352" s="1"/>
      <c r="Q352" s="1"/>
      <c r="R352" s="1"/>
      <c r="S352" s="1"/>
      <c r="T352" s="1"/>
      <c r="U352" s="1"/>
      <c r="V352" s="1"/>
      <c r="W352" s="1"/>
      <c r="X352" s="1"/>
      <c r="Y352" s="1"/>
      <c r="Z352" s="1"/>
      <c r="AA352" s="1"/>
      <c r="AB352" s="1"/>
      <c r="AC352" s="1"/>
      <c r="AD352" s="1"/>
      <c r="AE352" s="1"/>
    </row>
    <row r="353" customFormat="false" ht="15.75" hidden="false" customHeight="true" outlineLevel="0" collapsed="false">
      <c r="P353" s="1"/>
      <c r="Q353" s="1"/>
      <c r="R353" s="1"/>
      <c r="S353" s="1"/>
      <c r="T353" s="1"/>
      <c r="U353" s="1"/>
      <c r="V353" s="1"/>
      <c r="W353" s="1"/>
      <c r="X353" s="1"/>
      <c r="Y353" s="1"/>
      <c r="Z353" s="1"/>
      <c r="AA353" s="1"/>
      <c r="AB353" s="1"/>
      <c r="AC353" s="1"/>
      <c r="AD353" s="1"/>
      <c r="AE353" s="1"/>
    </row>
    <row r="354" customFormat="false" ht="15.75" hidden="false" customHeight="true" outlineLevel="0" collapsed="false">
      <c r="P354" s="1"/>
      <c r="Q354" s="1"/>
      <c r="R354" s="1"/>
      <c r="S354" s="1"/>
      <c r="T354" s="1"/>
      <c r="U354" s="1"/>
      <c r="V354" s="1"/>
      <c r="W354" s="1"/>
      <c r="X354" s="1"/>
      <c r="Y354" s="1"/>
      <c r="Z354" s="1"/>
      <c r="AA354" s="1"/>
      <c r="AB354" s="1"/>
      <c r="AC354" s="1"/>
      <c r="AD354" s="1"/>
      <c r="AE354" s="1"/>
    </row>
    <row r="355" customFormat="false" ht="15.75" hidden="false" customHeight="true" outlineLevel="0" collapsed="false">
      <c r="P355" s="1"/>
      <c r="Q355" s="1"/>
      <c r="R355" s="1"/>
      <c r="S355" s="1"/>
      <c r="T355" s="1"/>
      <c r="U355" s="1"/>
      <c r="V355" s="1"/>
      <c r="W355" s="1"/>
      <c r="X355" s="1"/>
      <c r="Y355" s="1"/>
      <c r="Z355" s="1"/>
      <c r="AA355" s="1"/>
      <c r="AB355" s="1"/>
      <c r="AC355" s="1"/>
      <c r="AD355" s="1"/>
      <c r="AE355" s="1"/>
    </row>
    <row r="356" customFormat="false" ht="15.75" hidden="false" customHeight="true" outlineLevel="0" collapsed="false">
      <c r="P356" s="1"/>
      <c r="Q356" s="1"/>
      <c r="R356" s="1"/>
      <c r="S356" s="1"/>
      <c r="T356" s="1"/>
      <c r="U356" s="1"/>
      <c r="V356" s="1"/>
      <c r="W356" s="1"/>
      <c r="X356" s="1"/>
      <c r="Y356" s="1"/>
      <c r="Z356" s="1"/>
      <c r="AA356" s="1"/>
      <c r="AB356" s="1"/>
      <c r="AC356" s="1"/>
      <c r="AD356" s="1"/>
      <c r="AE356" s="1"/>
    </row>
    <row r="357" customFormat="false" ht="15.75" hidden="false" customHeight="true" outlineLevel="0" collapsed="false">
      <c r="P357" s="1"/>
      <c r="Q357" s="1"/>
      <c r="R357" s="1"/>
      <c r="S357" s="1"/>
      <c r="T357" s="1"/>
      <c r="U357" s="1"/>
      <c r="V357" s="1"/>
      <c r="W357" s="1"/>
      <c r="X357" s="1"/>
      <c r="Y357" s="1"/>
      <c r="Z357" s="1"/>
      <c r="AA357" s="1"/>
      <c r="AB357" s="1"/>
      <c r="AC357" s="1"/>
      <c r="AD357" s="1"/>
      <c r="AE357" s="1"/>
    </row>
    <row r="358" customFormat="false" ht="15.75" hidden="false" customHeight="true" outlineLevel="0" collapsed="false">
      <c r="P358" s="1"/>
      <c r="Q358" s="1"/>
      <c r="R358" s="1"/>
      <c r="S358" s="1"/>
      <c r="T358" s="1"/>
      <c r="U358" s="1"/>
      <c r="V358" s="1"/>
      <c r="W358" s="1"/>
      <c r="X358" s="1"/>
      <c r="Y358" s="1"/>
      <c r="Z358" s="1"/>
      <c r="AA358" s="1"/>
      <c r="AB358" s="1"/>
      <c r="AC358" s="1"/>
      <c r="AD358" s="1"/>
      <c r="AE358" s="1"/>
    </row>
    <row r="359" customFormat="false" ht="15.75" hidden="false" customHeight="true" outlineLevel="0" collapsed="false">
      <c r="P359" s="1"/>
      <c r="Q359" s="1"/>
      <c r="R359" s="1"/>
      <c r="S359" s="1"/>
      <c r="T359" s="1"/>
      <c r="U359" s="1"/>
      <c r="V359" s="1"/>
      <c r="W359" s="1"/>
      <c r="X359" s="1"/>
      <c r="Y359" s="1"/>
      <c r="Z359" s="1"/>
      <c r="AA359" s="1"/>
      <c r="AB359" s="1"/>
      <c r="AC359" s="1"/>
      <c r="AD359" s="1"/>
      <c r="AE359" s="1"/>
    </row>
    <row r="360" customFormat="false" ht="15.75" hidden="false" customHeight="true" outlineLevel="0" collapsed="false">
      <c r="P360" s="1"/>
      <c r="Q360" s="1"/>
      <c r="R360" s="1"/>
      <c r="S360" s="1"/>
      <c r="T360" s="1"/>
      <c r="U360" s="1"/>
      <c r="V360" s="1"/>
      <c r="W360" s="1"/>
      <c r="X360" s="1"/>
      <c r="Y360" s="1"/>
      <c r="Z360" s="1"/>
      <c r="AA360" s="1"/>
      <c r="AB360" s="1"/>
      <c r="AC360" s="1"/>
      <c r="AD360" s="1"/>
      <c r="AE360" s="1"/>
    </row>
    <row r="361" customFormat="false" ht="15.75" hidden="false" customHeight="true" outlineLevel="0" collapsed="false">
      <c r="P361" s="1"/>
      <c r="Q361" s="1"/>
      <c r="R361" s="1"/>
      <c r="S361" s="1"/>
      <c r="T361" s="1"/>
      <c r="U361" s="1"/>
      <c r="V361" s="1"/>
      <c r="W361" s="1"/>
      <c r="X361" s="1"/>
      <c r="Y361" s="1"/>
      <c r="Z361" s="1"/>
      <c r="AA361" s="1"/>
      <c r="AB361" s="1"/>
      <c r="AC361" s="1"/>
      <c r="AD361" s="1"/>
      <c r="AE361" s="1"/>
    </row>
    <row r="362" customFormat="false" ht="15.75" hidden="false" customHeight="true" outlineLevel="0" collapsed="false">
      <c r="P362" s="1"/>
      <c r="Q362" s="1"/>
      <c r="R362" s="1"/>
      <c r="S362" s="1"/>
      <c r="T362" s="1"/>
      <c r="U362" s="1"/>
      <c r="V362" s="1"/>
      <c r="W362" s="1"/>
      <c r="X362" s="1"/>
      <c r="Y362" s="1"/>
      <c r="Z362" s="1"/>
      <c r="AA362" s="1"/>
      <c r="AB362" s="1"/>
      <c r="AC362" s="1"/>
      <c r="AD362" s="1"/>
      <c r="AE362" s="1"/>
    </row>
    <row r="363" customFormat="false" ht="15.75" hidden="false" customHeight="true" outlineLevel="0" collapsed="false">
      <c r="P363" s="1"/>
      <c r="Q363" s="1"/>
      <c r="R363" s="1"/>
      <c r="S363" s="1"/>
      <c r="T363" s="1"/>
      <c r="U363" s="1"/>
      <c r="V363" s="1"/>
      <c r="W363" s="1"/>
      <c r="X363" s="1"/>
      <c r="Y363" s="1"/>
      <c r="Z363" s="1"/>
      <c r="AA363" s="1"/>
      <c r="AB363" s="1"/>
      <c r="AC363" s="1"/>
      <c r="AD363" s="1"/>
      <c r="AE363" s="1"/>
    </row>
    <row r="364" customFormat="false" ht="15.75" hidden="false" customHeight="true" outlineLevel="0" collapsed="false">
      <c r="P364" s="1"/>
      <c r="Q364" s="1"/>
      <c r="R364" s="1"/>
      <c r="S364" s="1"/>
      <c r="T364" s="1"/>
      <c r="U364" s="1"/>
      <c r="V364" s="1"/>
      <c r="W364" s="1"/>
      <c r="X364" s="1"/>
      <c r="Y364" s="1"/>
      <c r="Z364" s="1"/>
      <c r="AA364" s="1"/>
      <c r="AB364" s="1"/>
      <c r="AC364" s="1"/>
      <c r="AD364" s="1"/>
      <c r="AE364" s="1"/>
    </row>
    <row r="365" customFormat="false" ht="15.75" hidden="false" customHeight="true" outlineLevel="0" collapsed="false">
      <c r="P365" s="1"/>
      <c r="Q365" s="1"/>
      <c r="R365" s="1"/>
      <c r="S365" s="1"/>
      <c r="T365" s="1"/>
      <c r="U365" s="1"/>
      <c r="V365" s="1"/>
      <c r="W365" s="1"/>
      <c r="X365" s="1"/>
      <c r="Y365" s="1"/>
      <c r="Z365" s="1"/>
      <c r="AA365" s="1"/>
      <c r="AB365" s="1"/>
      <c r="AC365" s="1"/>
      <c r="AD365" s="1"/>
      <c r="AE365" s="1"/>
    </row>
    <row r="366" customFormat="false" ht="15.75" hidden="false" customHeight="true" outlineLevel="0" collapsed="false">
      <c r="P366" s="1"/>
      <c r="Q366" s="1"/>
      <c r="R366" s="1"/>
      <c r="S366" s="1"/>
      <c r="T366" s="1"/>
      <c r="U366" s="1"/>
      <c r="V366" s="1"/>
      <c r="W366" s="1"/>
      <c r="X366" s="1"/>
      <c r="Y366" s="1"/>
      <c r="Z366" s="1"/>
      <c r="AA366" s="1"/>
      <c r="AB366" s="1"/>
      <c r="AC366" s="1"/>
      <c r="AD366" s="1"/>
      <c r="AE366" s="1"/>
    </row>
    <row r="367" customFormat="false" ht="15.75" hidden="false" customHeight="true" outlineLevel="0" collapsed="false">
      <c r="P367" s="1"/>
      <c r="Q367" s="1"/>
      <c r="R367" s="1"/>
      <c r="S367" s="1"/>
      <c r="T367" s="1"/>
      <c r="U367" s="1"/>
      <c r="V367" s="1"/>
      <c r="W367" s="1"/>
      <c r="X367" s="1"/>
      <c r="Y367" s="1"/>
      <c r="Z367" s="1"/>
      <c r="AA367" s="1"/>
      <c r="AB367" s="1"/>
      <c r="AC367" s="1"/>
      <c r="AD367" s="1"/>
      <c r="AE367" s="1"/>
    </row>
    <row r="368" customFormat="false" ht="15.75" hidden="false" customHeight="true" outlineLevel="0" collapsed="false">
      <c r="P368" s="1"/>
      <c r="Q368" s="1"/>
      <c r="R368" s="1"/>
      <c r="S368" s="1"/>
      <c r="T368" s="1"/>
      <c r="U368" s="1"/>
      <c r="V368" s="1"/>
      <c r="W368" s="1"/>
      <c r="X368" s="1"/>
      <c r="Y368" s="1"/>
      <c r="Z368" s="1"/>
      <c r="AA368" s="1"/>
      <c r="AB368" s="1"/>
      <c r="AC368" s="1"/>
      <c r="AD368" s="1"/>
      <c r="AE368" s="1"/>
    </row>
    <row r="369" customFormat="false" ht="15.75" hidden="false" customHeight="true" outlineLevel="0" collapsed="false">
      <c r="P369" s="1"/>
      <c r="Q369" s="1"/>
      <c r="R369" s="1"/>
      <c r="S369" s="1"/>
      <c r="T369" s="1"/>
      <c r="U369" s="1"/>
      <c r="V369" s="1"/>
      <c r="W369" s="1"/>
      <c r="X369" s="1"/>
      <c r="Y369" s="1"/>
      <c r="Z369" s="1"/>
      <c r="AA369" s="1"/>
      <c r="AB369" s="1"/>
      <c r="AC369" s="1"/>
      <c r="AD369" s="1"/>
      <c r="AE369" s="1"/>
    </row>
    <row r="370" customFormat="false" ht="15.75" hidden="false" customHeight="true" outlineLevel="0" collapsed="false">
      <c r="P370" s="1"/>
      <c r="Q370" s="1"/>
      <c r="R370" s="1"/>
      <c r="S370" s="1"/>
      <c r="T370" s="1"/>
      <c r="U370" s="1"/>
      <c r="V370" s="1"/>
      <c r="W370" s="1"/>
      <c r="X370" s="1"/>
      <c r="Y370" s="1"/>
      <c r="Z370" s="1"/>
      <c r="AA370" s="1"/>
      <c r="AB370" s="1"/>
      <c r="AC370" s="1"/>
      <c r="AD370" s="1"/>
      <c r="AE370" s="1"/>
    </row>
    <row r="371" customFormat="false" ht="15.75" hidden="false" customHeight="true" outlineLevel="0" collapsed="false">
      <c r="P371" s="1"/>
      <c r="Q371" s="1"/>
      <c r="R371" s="1"/>
      <c r="S371" s="1"/>
      <c r="T371" s="1"/>
      <c r="U371" s="1"/>
      <c r="V371" s="1"/>
      <c r="W371" s="1"/>
      <c r="X371" s="1"/>
      <c r="Y371" s="1"/>
      <c r="Z371" s="1"/>
      <c r="AA371" s="1"/>
      <c r="AB371" s="1"/>
      <c r="AC371" s="1"/>
      <c r="AD371" s="1"/>
      <c r="AE371" s="1"/>
    </row>
    <row r="372" customFormat="false" ht="15.75" hidden="false" customHeight="true" outlineLevel="0" collapsed="false">
      <c r="P372" s="1"/>
      <c r="Q372" s="1"/>
      <c r="R372" s="1"/>
      <c r="S372" s="1"/>
      <c r="T372" s="1"/>
      <c r="U372" s="1"/>
      <c r="V372" s="1"/>
      <c r="W372" s="1"/>
      <c r="X372" s="1"/>
      <c r="Y372" s="1"/>
      <c r="Z372" s="1"/>
      <c r="AA372" s="1"/>
      <c r="AB372" s="1"/>
      <c r="AC372" s="1"/>
      <c r="AD372" s="1"/>
      <c r="AE372" s="1"/>
    </row>
    <row r="373" customFormat="false" ht="15.75" hidden="false" customHeight="true" outlineLevel="0" collapsed="false">
      <c r="P373" s="1"/>
      <c r="Q373" s="1"/>
      <c r="R373" s="1"/>
      <c r="S373" s="1"/>
      <c r="T373" s="1"/>
      <c r="U373" s="1"/>
      <c r="V373" s="1"/>
      <c r="W373" s="1"/>
      <c r="X373" s="1"/>
      <c r="Y373" s="1"/>
      <c r="Z373" s="1"/>
      <c r="AA373" s="1"/>
      <c r="AB373" s="1"/>
      <c r="AC373" s="1"/>
      <c r="AD373" s="1"/>
      <c r="AE373" s="1"/>
    </row>
    <row r="374" customFormat="false" ht="15.75" hidden="false" customHeight="true" outlineLevel="0" collapsed="false">
      <c r="P374" s="1"/>
      <c r="Q374" s="1"/>
      <c r="R374" s="1"/>
      <c r="S374" s="1"/>
      <c r="T374" s="1"/>
      <c r="U374" s="1"/>
      <c r="V374" s="1"/>
      <c r="W374" s="1"/>
      <c r="X374" s="1"/>
      <c r="Y374" s="1"/>
      <c r="Z374" s="1"/>
      <c r="AA374" s="1"/>
      <c r="AB374" s="1"/>
      <c r="AC374" s="1"/>
      <c r="AD374" s="1"/>
      <c r="AE374" s="1"/>
    </row>
    <row r="375" customFormat="false" ht="15.75" hidden="false" customHeight="true" outlineLevel="0" collapsed="false">
      <c r="P375" s="1"/>
      <c r="Q375" s="1"/>
      <c r="R375" s="1"/>
      <c r="S375" s="1"/>
      <c r="T375" s="1"/>
      <c r="U375" s="1"/>
      <c r="V375" s="1"/>
      <c r="W375" s="1"/>
      <c r="X375" s="1"/>
      <c r="Y375" s="1"/>
      <c r="Z375" s="1"/>
      <c r="AA375" s="1"/>
      <c r="AB375" s="1"/>
      <c r="AC375" s="1"/>
      <c r="AD375" s="1"/>
      <c r="AE375" s="1"/>
    </row>
    <row r="376" customFormat="false" ht="15.75" hidden="false" customHeight="true" outlineLevel="0" collapsed="false">
      <c r="P376" s="1"/>
      <c r="Q376" s="1"/>
      <c r="R376" s="1"/>
      <c r="S376" s="1"/>
      <c r="T376" s="1"/>
      <c r="U376" s="1"/>
      <c r="V376" s="1"/>
      <c r="W376" s="1"/>
      <c r="X376" s="1"/>
      <c r="Y376" s="1"/>
      <c r="Z376" s="1"/>
      <c r="AA376" s="1"/>
      <c r="AB376" s="1"/>
      <c r="AC376" s="1"/>
      <c r="AD376" s="1"/>
      <c r="AE376" s="1"/>
    </row>
    <row r="377" customFormat="false" ht="15.75" hidden="false" customHeight="true" outlineLevel="0" collapsed="false">
      <c r="P377" s="1"/>
      <c r="Q377" s="1"/>
      <c r="R377" s="1"/>
      <c r="S377" s="1"/>
      <c r="T377" s="1"/>
      <c r="U377" s="1"/>
      <c r="V377" s="1"/>
      <c r="W377" s="1"/>
      <c r="X377" s="1"/>
      <c r="Y377" s="1"/>
      <c r="Z377" s="1"/>
      <c r="AA377" s="1"/>
      <c r="AB377" s="1"/>
      <c r="AC377" s="1"/>
      <c r="AD377" s="1"/>
      <c r="AE377" s="1"/>
    </row>
    <row r="378" customFormat="false" ht="15.75" hidden="false" customHeight="true" outlineLevel="0" collapsed="false">
      <c r="P378" s="1"/>
      <c r="Q378" s="1"/>
      <c r="R378" s="1"/>
      <c r="S378" s="1"/>
      <c r="T378" s="1"/>
      <c r="U378" s="1"/>
      <c r="V378" s="1"/>
      <c r="W378" s="1"/>
      <c r="X378" s="1"/>
      <c r="Y378" s="1"/>
      <c r="Z378" s="1"/>
      <c r="AA378" s="1"/>
      <c r="AB378" s="1"/>
      <c r="AC378" s="1"/>
      <c r="AD378" s="1"/>
      <c r="AE378" s="1"/>
    </row>
    <row r="379" customFormat="false" ht="15.75" hidden="false" customHeight="true" outlineLevel="0" collapsed="false">
      <c r="P379" s="1"/>
      <c r="Q379" s="1"/>
      <c r="R379" s="1"/>
      <c r="S379" s="1"/>
      <c r="T379" s="1"/>
      <c r="U379" s="1"/>
      <c r="V379" s="1"/>
      <c r="W379" s="1"/>
      <c r="X379" s="1"/>
      <c r="Y379" s="1"/>
      <c r="Z379" s="1"/>
      <c r="AA379" s="1"/>
      <c r="AB379" s="1"/>
      <c r="AC379" s="1"/>
      <c r="AD379" s="1"/>
      <c r="AE379" s="1"/>
    </row>
    <row r="380" customFormat="false" ht="15.75" hidden="false" customHeight="true" outlineLevel="0" collapsed="false">
      <c r="P380" s="1"/>
      <c r="Q380" s="1"/>
      <c r="R380" s="1"/>
      <c r="S380" s="1"/>
      <c r="T380" s="1"/>
      <c r="U380" s="1"/>
      <c r="V380" s="1"/>
      <c r="W380" s="1"/>
      <c r="X380" s="1"/>
      <c r="Y380" s="1"/>
      <c r="Z380" s="1"/>
      <c r="AA380" s="1"/>
      <c r="AB380" s="1"/>
      <c r="AC380" s="1"/>
      <c r="AD380" s="1"/>
      <c r="AE380" s="1"/>
    </row>
    <row r="381" customFormat="false" ht="15.75" hidden="false" customHeight="true" outlineLevel="0" collapsed="false">
      <c r="P381" s="1"/>
      <c r="Q381" s="1"/>
      <c r="R381" s="1"/>
      <c r="S381" s="1"/>
      <c r="T381" s="1"/>
      <c r="U381" s="1"/>
      <c r="V381" s="1"/>
      <c r="W381" s="1"/>
      <c r="X381" s="1"/>
      <c r="Y381" s="1"/>
      <c r="Z381" s="1"/>
      <c r="AA381" s="1"/>
      <c r="AB381" s="1"/>
      <c r="AC381" s="1"/>
      <c r="AD381" s="1"/>
      <c r="AE381" s="1"/>
    </row>
    <row r="382" customFormat="false" ht="15.75" hidden="false" customHeight="true" outlineLevel="0" collapsed="false">
      <c r="P382" s="1"/>
      <c r="Q382" s="1"/>
      <c r="R382" s="1"/>
      <c r="S382" s="1"/>
      <c r="T382" s="1"/>
      <c r="U382" s="1"/>
      <c r="V382" s="1"/>
      <c r="W382" s="1"/>
      <c r="X382" s="1"/>
      <c r="Y382" s="1"/>
      <c r="Z382" s="1"/>
      <c r="AA382" s="1"/>
      <c r="AB382" s="1"/>
      <c r="AC382" s="1"/>
      <c r="AD382" s="1"/>
      <c r="AE382" s="1"/>
    </row>
    <row r="383" customFormat="false" ht="15.75" hidden="false" customHeight="true" outlineLevel="0" collapsed="false">
      <c r="P383" s="1"/>
      <c r="Q383" s="1"/>
      <c r="R383" s="1"/>
      <c r="S383" s="1"/>
      <c r="T383" s="1"/>
      <c r="U383" s="1"/>
      <c r="V383" s="1"/>
      <c r="W383" s="1"/>
      <c r="X383" s="1"/>
      <c r="Y383" s="1"/>
      <c r="Z383" s="1"/>
      <c r="AA383" s="1"/>
      <c r="AB383" s="1"/>
      <c r="AC383" s="1"/>
      <c r="AD383" s="1"/>
      <c r="AE383" s="1"/>
    </row>
    <row r="384" customFormat="false" ht="15.75" hidden="false" customHeight="true" outlineLevel="0" collapsed="false">
      <c r="P384" s="1"/>
      <c r="Q384" s="1"/>
      <c r="R384" s="1"/>
      <c r="S384" s="1"/>
      <c r="T384" s="1"/>
      <c r="U384" s="1"/>
      <c r="V384" s="1"/>
      <c r="W384" s="1"/>
      <c r="X384" s="1"/>
      <c r="Y384" s="1"/>
      <c r="Z384" s="1"/>
      <c r="AA384" s="1"/>
      <c r="AB384" s="1"/>
      <c r="AC384" s="1"/>
      <c r="AD384" s="1"/>
      <c r="AE384" s="1"/>
    </row>
    <row r="385" customFormat="false" ht="15.75" hidden="false" customHeight="true" outlineLevel="0" collapsed="false">
      <c r="P385" s="1"/>
      <c r="Q385" s="1"/>
      <c r="R385" s="1"/>
      <c r="S385" s="1"/>
      <c r="T385" s="1"/>
      <c r="U385" s="1"/>
      <c r="V385" s="1"/>
      <c r="W385" s="1"/>
      <c r="X385" s="1"/>
      <c r="Y385" s="1"/>
      <c r="Z385" s="1"/>
      <c r="AA385" s="1"/>
      <c r="AB385" s="1"/>
      <c r="AC385" s="1"/>
      <c r="AD385" s="1"/>
      <c r="AE385" s="1"/>
    </row>
    <row r="386" customFormat="false" ht="15.75" hidden="false" customHeight="true" outlineLevel="0" collapsed="false">
      <c r="P386" s="1"/>
      <c r="Q386" s="1"/>
      <c r="R386" s="1"/>
      <c r="S386" s="1"/>
      <c r="T386" s="1"/>
      <c r="U386" s="1"/>
      <c r="V386" s="1"/>
      <c r="W386" s="1"/>
      <c r="X386" s="1"/>
      <c r="Y386" s="1"/>
      <c r="Z386" s="1"/>
      <c r="AA386" s="1"/>
      <c r="AB386" s="1"/>
      <c r="AC386" s="1"/>
      <c r="AD386" s="1"/>
      <c r="AE386" s="1"/>
    </row>
    <row r="387" customFormat="false" ht="15.75" hidden="false" customHeight="true" outlineLevel="0" collapsed="false">
      <c r="P387" s="1"/>
      <c r="Q387" s="1"/>
      <c r="R387" s="1"/>
      <c r="S387" s="1"/>
      <c r="T387" s="1"/>
      <c r="U387" s="1"/>
      <c r="V387" s="1"/>
      <c r="W387" s="1"/>
      <c r="X387" s="1"/>
      <c r="Y387" s="1"/>
      <c r="Z387" s="1"/>
      <c r="AA387" s="1"/>
      <c r="AB387" s="1"/>
      <c r="AC387" s="1"/>
      <c r="AD387" s="1"/>
      <c r="AE387" s="1"/>
    </row>
    <row r="388" customFormat="false" ht="15.75" hidden="false" customHeight="true" outlineLevel="0" collapsed="false">
      <c r="P388" s="1"/>
      <c r="Q388" s="1"/>
      <c r="R388" s="1"/>
      <c r="S388" s="1"/>
      <c r="T388" s="1"/>
      <c r="U388" s="1"/>
      <c r="V388" s="1"/>
      <c r="W388" s="1"/>
      <c r="X388" s="1"/>
      <c r="Y388" s="1"/>
      <c r="Z388" s="1"/>
      <c r="AA388" s="1"/>
      <c r="AB388" s="1"/>
      <c r="AC388" s="1"/>
      <c r="AD388" s="1"/>
      <c r="AE388" s="1"/>
    </row>
    <row r="389" customFormat="false" ht="15.75" hidden="false" customHeight="true" outlineLevel="0" collapsed="false">
      <c r="P389" s="1"/>
      <c r="Q389" s="1"/>
      <c r="R389" s="1"/>
      <c r="S389" s="1"/>
      <c r="T389" s="1"/>
      <c r="U389" s="1"/>
      <c r="V389" s="1"/>
      <c r="W389" s="1"/>
      <c r="X389" s="1"/>
      <c r="Y389" s="1"/>
      <c r="Z389" s="1"/>
      <c r="AA389" s="1"/>
      <c r="AB389" s="1"/>
      <c r="AC389" s="1"/>
      <c r="AD389" s="1"/>
      <c r="AE389" s="1"/>
    </row>
    <row r="390" customFormat="false" ht="15.75" hidden="false" customHeight="true" outlineLevel="0" collapsed="false">
      <c r="P390" s="1"/>
      <c r="Q390" s="1"/>
      <c r="R390" s="1"/>
      <c r="S390" s="1"/>
      <c r="T390" s="1"/>
      <c r="U390" s="1"/>
      <c r="V390" s="1"/>
      <c r="W390" s="1"/>
      <c r="X390" s="1"/>
      <c r="Y390" s="1"/>
      <c r="Z390" s="1"/>
      <c r="AA390" s="1"/>
      <c r="AB390" s="1"/>
      <c r="AC390" s="1"/>
      <c r="AD390" s="1"/>
      <c r="AE390" s="1"/>
    </row>
    <row r="391" customFormat="false" ht="15.75" hidden="false" customHeight="true" outlineLevel="0" collapsed="false">
      <c r="P391" s="1"/>
      <c r="Q391" s="1"/>
      <c r="R391" s="1"/>
      <c r="S391" s="1"/>
      <c r="T391" s="1"/>
      <c r="U391" s="1"/>
      <c r="V391" s="1"/>
      <c r="W391" s="1"/>
      <c r="X391" s="1"/>
      <c r="Y391" s="1"/>
      <c r="Z391" s="1"/>
      <c r="AA391" s="1"/>
      <c r="AB391" s="1"/>
      <c r="AC391" s="1"/>
      <c r="AD391" s="1"/>
      <c r="AE391" s="1"/>
    </row>
    <row r="392" customFormat="false" ht="15.75" hidden="false" customHeight="true" outlineLevel="0" collapsed="false">
      <c r="P392" s="1"/>
      <c r="Q392" s="1"/>
      <c r="R392" s="1"/>
      <c r="S392" s="1"/>
      <c r="T392" s="1"/>
      <c r="U392" s="1"/>
      <c r="V392" s="1"/>
      <c r="W392" s="1"/>
      <c r="X392" s="1"/>
      <c r="Y392" s="1"/>
      <c r="Z392" s="1"/>
      <c r="AA392" s="1"/>
      <c r="AB392" s="1"/>
      <c r="AC392" s="1"/>
      <c r="AD392" s="1"/>
      <c r="AE392" s="1"/>
    </row>
    <row r="393" customFormat="false" ht="15.75" hidden="false" customHeight="true" outlineLevel="0" collapsed="false">
      <c r="P393" s="1"/>
      <c r="Q393" s="1"/>
      <c r="R393" s="1"/>
      <c r="S393" s="1"/>
      <c r="T393" s="1"/>
      <c r="U393" s="1"/>
      <c r="V393" s="1"/>
      <c r="W393" s="1"/>
      <c r="X393" s="1"/>
      <c r="Y393" s="1"/>
      <c r="Z393" s="1"/>
      <c r="AA393" s="1"/>
      <c r="AB393" s="1"/>
      <c r="AC393" s="1"/>
      <c r="AD393" s="1"/>
      <c r="AE393" s="1"/>
    </row>
    <row r="394" customFormat="false" ht="15.75" hidden="false" customHeight="true" outlineLevel="0" collapsed="false">
      <c r="P394" s="1"/>
      <c r="Q394" s="1"/>
      <c r="R394" s="1"/>
      <c r="S394" s="1"/>
      <c r="T394" s="1"/>
      <c r="U394" s="1"/>
      <c r="V394" s="1"/>
      <c r="W394" s="1"/>
      <c r="X394" s="1"/>
      <c r="Y394" s="1"/>
      <c r="Z394" s="1"/>
      <c r="AA394" s="1"/>
      <c r="AB394" s="1"/>
      <c r="AC394" s="1"/>
      <c r="AD394" s="1"/>
      <c r="AE394" s="1"/>
    </row>
    <row r="395" customFormat="false" ht="15.75" hidden="false" customHeight="true" outlineLevel="0" collapsed="false">
      <c r="P395" s="1"/>
      <c r="Q395" s="1"/>
      <c r="R395" s="1"/>
      <c r="S395" s="1"/>
      <c r="T395" s="1"/>
      <c r="U395" s="1"/>
      <c r="V395" s="1"/>
      <c r="W395" s="1"/>
      <c r="X395" s="1"/>
      <c r="Y395" s="1"/>
      <c r="Z395" s="1"/>
      <c r="AA395" s="1"/>
      <c r="AB395" s="1"/>
      <c r="AC395" s="1"/>
      <c r="AD395" s="1"/>
      <c r="AE395" s="1"/>
    </row>
    <row r="396" customFormat="false" ht="15.75" hidden="false" customHeight="true" outlineLevel="0" collapsed="false">
      <c r="P396" s="1"/>
      <c r="Q396" s="1"/>
      <c r="R396" s="1"/>
      <c r="S396" s="1"/>
      <c r="T396" s="1"/>
      <c r="U396" s="1"/>
      <c r="V396" s="1"/>
      <c r="W396" s="1"/>
      <c r="X396" s="1"/>
      <c r="Y396" s="1"/>
      <c r="Z396" s="1"/>
      <c r="AA396" s="1"/>
      <c r="AB396" s="1"/>
      <c r="AC396" s="1"/>
      <c r="AD396" s="1"/>
      <c r="AE396" s="1"/>
    </row>
    <row r="397" customFormat="false" ht="15.75" hidden="false" customHeight="true" outlineLevel="0" collapsed="false">
      <c r="P397" s="1"/>
      <c r="Q397" s="1"/>
      <c r="R397" s="1"/>
      <c r="S397" s="1"/>
      <c r="T397" s="1"/>
      <c r="U397" s="1"/>
      <c r="V397" s="1"/>
      <c r="W397" s="1"/>
      <c r="X397" s="1"/>
      <c r="Y397" s="1"/>
      <c r="Z397" s="1"/>
      <c r="AA397" s="1"/>
      <c r="AB397" s="1"/>
      <c r="AC397" s="1"/>
      <c r="AD397" s="1"/>
      <c r="AE397" s="1"/>
    </row>
    <row r="398" customFormat="false" ht="15.75" hidden="false" customHeight="true" outlineLevel="0" collapsed="false">
      <c r="P398" s="1"/>
      <c r="Q398" s="1"/>
      <c r="R398" s="1"/>
      <c r="S398" s="1"/>
      <c r="T398" s="1"/>
      <c r="U398" s="1"/>
      <c r="V398" s="1"/>
      <c r="W398" s="1"/>
      <c r="X398" s="1"/>
      <c r="Y398" s="1"/>
      <c r="Z398" s="1"/>
      <c r="AA398" s="1"/>
      <c r="AB398" s="1"/>
      <c r="AC398" s="1"/>
      <c r="AD398" s="1"/>
      <c r="AE398" s="1"/>
    </row>
    <row r="399" customFormat="false" ht="15.75" hidden="false" customHeight="true" outlineLevel="0" collapsed="false">
      <c r="P399" s="1"/>
      <c r="Q399" s="1"/>
      <c r="R399" s="1"/>
      <c r="S399" s="1"/>
      <c r="T399" s="1"/>
      <c r="U399" s="1"/>
      <c r="V399" s="1"/>
      <c r="W399" s="1"/>
      <c r="X399" s="1"/>
      <c r="Y399" s="1"/>
      <c r="Z399" s="1"/>
      <c r="AA399" s="1"/>
      <c r="AB399" s="1"/>
      <c r="AC399" s="1"/>
      <c r="AD399" s="1"/>
      <c r="AE399" s="1"/>
    </row>
    <row r="400" customFormat="false" ht="15.75" hidden="false" customHeight="true" outlineLevel="0" collapsed="false">
      <c r="P400" s="1"/>
      <c r="Q400" s="1"/>
      <c r="R400" s="1"/>
      <c r="S400" s="1"/>
      <c r="T400" s="1"/>
      <c r="U400" s="1"/>
      <c r="V400" s="1"/>
      <c r="W400" s="1"/>
      <c r="X400" s="1"/>
      <c r="Y400" s="1"/>
      <c r="Z400" s="1"/>
      <c r="AA400" s="1"/>
      <c r="AB400" s="1"/>
      <c r="AC400" s="1"/>
      <c r="AD400" s="1"/>
      <c r="AE400" s="1"/>
    </row>
    <row r="401" customFormat="false" ht="15.75" hidden="false" customHeight="true" outlineLevel="0" collapsed="false">
      <c r="P401" s="1"/>
      <c r="Q401" s="1"/>
      <c r="R401" s="1"/>
      <c r="S401" s="1"/>
      <c r="T401" s="1"/>
      <c r="U401" s="1"/>
      <c r="V401" s="1"/>
      <c r="W401" s="1"/>
      <c r="X401" s="1"/>
      <c r="Y401" s="1"/>
      <c r="Z401" s="1"/>
      <c r="AA401" s="1"/>
      <c r="AB401" s="1"/>
      <c r="AC401" s="1"/>
      <c r="AD401" s="1"/>
      <c r="AE401" s="1"/>
    </row>
    <row r="402" customFormat="false" ht="15.75" hidden="false" customHeight="true" outlineLevel="0" collapsed="false">
      <c r="P402" s="1"/>
      <c r="Q402" s="1"/>
      <c r="R402" s="1"/>
      <c r="S402" s="1"/>
      <c r="T402" s="1"/>
      <c r="U402" s="1"/>
      <c r="V402" s="1"/>
      <c r="W402" s="1"/>
      <c r="X402" s="1"/>
      <c r="Y402" s="1"/>
      <c r="Z402" s="1"/>
      <c r="AA402" s="1"/>
      <c r="AB402" s="1"/>
      <c r="AC402" s="1"/>
      <c r="AD402" s="1"/>
      <c r="AE402" s="1"/>
    </row>
    <row r="403" customFormat="false" ht="15.75" hidden="false" customHeight="true" outlineLevel="0" collapsed="false">
      <c r="P403" s="1"/>
      <c r="Q403" s="1"/>
      <c r="R403" s="1"/>
      <c r="S403" s="1"/>
      <c r="T403" s="1"/>
      <c r="U403" s="1"/>
      <c r="V403" s="1"/>
      <c r="W403" s="1"/>
      <c r="X403" s="1"/>
      <c r="Y403" s="1"/>
      <c r="Z403" s="1"/>
      <c r="AA403" s="1"/>
      <c r="AB403" s="1"/>
      <c r="AC403" s="1"/>
      <c r="AD403" s="1"/>
      <c r="AE403" s="1"/>
    </row>
    <row r="404" customFormat="false" ht="15.75" hidden="false" customHeight="true" outlineLevel="0" collapsed="false">
      <c r="P404" s="1"/>
      <c r="Q404" s="1"/>
      <c r="R404" s="1"/>
      <c r="S404" s="1"/>
      <c r="T404" s="1"/>
      <c r="U404" s="1"/>
      <c r="V404" s="1"/>
      <c r="W404" s="1"/>
      <c r="X404" s="1"/>
      <c r="Y404" s="1"/>
      <c r="Z404" s="1"/>
      <c r="AA404" s="1"/>
      <c r="AB404" s="1"/>
      <c r="AC404" s="1"/>
      <c r="AD404" s="1"/>
      <c r="AE404" s="1"/>
    </row>
    <row r="405" customFormat="false" ht="15.75" hidden="false" customHeight="true" outlineLevel="0" collapsed="false">
      <c r="P405" s="1"/>
      <c r="Q405" s="1"/>
      <c r="R405" s="1"/>
      <c r="S405" s="1"/>
      <c r="T405" s="1"/>
      <c r="U405" s="1"/>
      <c r="V405" s="1"/>
      <c r="W405" s="1"/>
      <c r="X405" s="1"/>
      <c r="Y405" s="1"/>
      <c r="Z405" s="1"/>
      <c r="AA405" s="1"/>
      <c r="AB405" s="1"/>
      <c r="AC405" s="1"/>
      <c r="AD405" s="1"/>
      <c r="AE405" s="1"/>
    </row>
    <row r="406" customFormat="false" ht="15.75" hidden="false" customHeight="true" outlineLevel="0" collapsed="false">
      <c r="P406" s="1"/>
    </row>
    <row r="407" customFormat="false" ht="15.75" hidden="false" customHeight="true" outlineLevel="0" collapsed="false">
      <c r="P407" s="1"/>
    </row>
    <row r="408" customFormat="false" ht="15.75" hidden="false" customHeight="true" outlineLevel="0" collapsed="false">
      <c r="P408" s="1"/>
    </row>
    <row r="409" customFormat="false" ht="15.75" hidden="false" customHeight="true" outlineLevel="0" collapsed="false">
      <c r="P409" s="1"/>
    </row>
    <row r="410" customFormat="false" ht="15.75" hidden="false" customHeight="true" outlineLevel="0" collapsed="false">
      <c r="P410" s="1"/>
    </row>
    <row r="411" customFormat="false" ht="15.75" hidden="false" customHeight="true" outlineLevel="0" collapsed="false">
      <c r="P411" s="1"/>
    </row>
    <row r="412" customFormat="false" ht="15.75" hidden="false" customHeight="true" outlineLevel="0" collapsed="false">
      <c r="P412" s="1"/>
    </row>
    <row r="413" customFormat="false" ht="15.75" hidden="false" customHeight="true" outlineLevel="0" collapsed="false">
      <c r="P413" s="1"/>
    </row>
    <row r="414" customFormat="false" ht="15.75" hidden="false" customHeight="true" outlineLevel="0" collapsed="false">
      <c r="P414" s="1"/>
    </row>
    <row r="415" customFormat="false" ht="15.75" hidden="false" customHeight="true" outlineLevel="0" collapsed="false">
      <c r="P415" s="1"/>
    </row>
    <row r="416" customFormat="false" ht="15.75" hidden="false" customHeight="true" outlineLevel="0" collapsed="false">
      <c r="P416" s="1"/>
    </row>
    <row r="417" customFormat="false" ht="15.75" hidden="false" customHeight="true" outlineLevel="0" collapsed="false">
      <c r="P417" s="1"/>
    </row>
    <row r="418" customFormat="false" ht="15.75" hidden="false" customHeight="true" outlineLevel="0" collapsed="false">
      <c r="P418" s="1"/>
    </row>
    <row r="419" customFormat="false" ht="15.75" hidden="false" customHeight="true" outlineLevel="0" collapsed="false">
      <c r="P419" s="1"/>
    </row>
    <row r="420" customFormat="false" ht="15.75" hidden="false" customHeight="true" outlineLevel="0" collapsed="false">
      <c r="P420" s="1"/>
    </row>
    <row r="421" customFormat="false" ht="15.75" hidden="false" customHeight="true" outlineLevel="0" collapsed="false">
      <c r="P421" s="1"/>
    </row>
    <row r="422" customFormat="false" ht="15.75" hidden="false" customHeight="true" outlineLevel="0" collapsed="false">
      <c r="P422" s="1"/>
    </row>
    <row r="423" customFormat="false" ht="15.75" hidden="false" customHeight="true" outlineLevel="0" collapsed="false">
      <c r="P423" s="1"/>
    </row>
    <row r="424" customFormat="false" ht="15.75" hidden="false" customHeight="true" outlineLevel="0" collapsed="false">
      <c r="P424" s="1"/>
    </row>
    <row r="425" customFormat="false" ht="15.75" hidden="false" customHeight="true" outlineLevel="0" collapsed="false">
      <c r="P425" s="1"/>
    </row>
    <row r="426" customFormat="false" ht="15.75" hidden="false" customHeight="true" outlineLevel="0" collapsed="false">
      <c r="P426" s="1"/>
    </row>
    <row r="427" customFormat="false" ht="15.75" hidden="false" customHeight="true" outlineLevel="0" collapsed="false">
      <c r="P427" s="1"/>
    </row>
    <row r="428" customFormat="false" ht="15.75" hidden="false" customHeight="true" outlineLevel="0" collapsed="false">
      <c r="P428" s="1"/>
    </row>
    <row r="429" customFormat="false" ht="15.75" hidden="false" customHeight="true" outlineLevel="0" collapsed="false">
      <c r="P429" s="1"/>
    </row>
    <row r="430" customFormat="false" ht="15.75" hidden="false" customHeight="true" outlineLevel="0" collapsed="false">
      <c r="P430" s="1"/>
    </row>
    <row r="431" customFormat="false" ht="15.75" hidden="false" customHeight="true" outlineLevel="0" collapsed="false">
      <c r="P431" s="1"/>
    </row>
    <row r="432" customFormat="false" ht="15.75" hidden="false" customHeight="true" outlineLevel="0" collapsed="false">
      <c r="P432" s="1"/>
    </row>
    <row r="433" customFormat="false" ht="15.75" hidden="false" customHeight="true" outlineLevel="0" collapsed="false">
      <c r="P433" s="1"/>
    </row>
    <row r="434" customFormat="false" ht="15.75" hidden="false" customHeight="true" outlineLevel="0" collapsed="false">
      <c r="P434" s="1"/>
    </row>
    <row r="435" customFormat="false" ht="15.75" hidden="false" customHeight="true" outlineLevel="0" collapsed="false">
      <c r="P435" s="1"/>
    </row>
    <row r="436" customFormat="false" ht="15.75" hidden="false" customHeight="true" outlineLevel="0" collapsed="false">
      <c r="P436" s="1"/>
    </row>
    <row r="437" customFormat="false" ht="15.75" hidden="false" customHeight="true" outlineLevel="0" collapsed="false">
      <c r="P437" s="1"/>
    </row>
    <row r="438" customFormat="false" ht="15.75" hidden="false" customHeight="true" outlineLevel="0" collapsed="false">
      <c r="P438" s="1"/>
    </row>
    <row r="439" customFormat="false" ht="15.75" hidden="false" customHeight="true" outlineLevel="0" collapsed="false">
      <c r="P439" s="1"/>
    </row>
    <row r="440" customFormat="false" ht="15.75" hidden="false" customHeight="true" outlineLevel="0" collapsed="false">
      <c r="P440" s="1"/>
    </row>
    <row r="441" customFormat="false" ht="15.75" hidden="false" customHeight="true" outlineLevel="0" collapsed="false">
      <c r="P441" s="1"/>
    </row>
    <row r="442" customFormat="false" ht="15.75" hidden="false" customHeight="true" outlineLevel="0" collapsed="false">
      <c r="P442" s="1"/>
    </row>
    <row r="443" customFormat="false" ht="15.75" hidden="false" customHeight="true" outlineLevel="0" collapsed="false">
      <c r="P443" s="1"/>
    </row>
    <row r="444" customFormat="false" ht="15.75" hidden="false" customHeight="true" outlineLevel="0" collapsed="false">
      <c r="P444" s="1"/>
    </row>
    <row r="445" customFormat="false" ht="15.75" hidden="false" customHeight="true" outlineLevel="0" collapsed="false">
      <c r="P445" s="1"/>
    </row>
    <row r="446" customFormat="false" ht="15.75" hidden="false" customHeight="true" outlineLevel="0" collapsed="false">
      <c r="P446" s="1"/>
    </row>
    <row r="447" customFormat="false" ht="15.75" hidden="false" customHeight="true" outlineLevel="0" collapsed="false">
      <c r="P447" s="1"/>
    </row>
    <row r="448" customFormat="false" ht="15.75" hidden="false" customHeight="true" outlineLevel="0" collapsed="false">
      <c r="P448" s="1"/>
    </row>
    <row r="449" customFormat="false" ht="15.75" hidden="false" customHeight="true" outlineLevel="0" collapsed="false">
      <c r="P449" s="1"/>
    </row>
    <row r="450" customFormat="false" ht="15.75" hidden="false" customHeight="true" outlineLevel="0" collapsed="false">
      <c r="P450" s="1"/>
    </row>
    <row r="451" customFormat="false" ht="15.75" hidden="false" customHeight="true" outlineLevel="0" collapsed="false">
      <c r="P451" s="1"/>
    </row>
    <row r="452" customFormat="false" ht="15.75" hidden="false" customHeight="true" outlineLevel="0" collapsed="false">
      <c r="P452" s="1"/>
    </row>
    <row r="453" customFormat="false" ht="15.75" hidden="false" customHeight="true" outlineLevel="0" collapsed="false">
      <c r="P453" s="1"/>
    </row>
    <row r="454" customFormat="false" ht="15.75" hidden="false" customHeight="true" outlineLevel="0" collapsed="false">
      <c r="P454" s="1"/>
    </row>
    <row r="455" customFormat="false" ht="15.75" hidden="false" customHeight="true" outlineLevel="0" collapsed="false">
      <c r="P455" s="1"/>
    </row>
    <row r="456" customFormat="false" ht="15.75" hidden="false" customHeight="true" outlineLevel="0" collapsed="false">
      <c r="P456" s="1"/>
    </row>
    <row r="457" customFormat="false" ht="15.75" hidden="false" customHeight="true" outlineLevel="0" collapsed="false">
      <c r="P457" s="1"/>
    </row>
    <row r="458" customFormat="false" ht="15.75" hidden="false" customHeight="true" outlineLevel="0" collapsed="false">
      <c r="P458" s="1"/>
    </row>
    <row r="459" customFormat="false" ht="15.75" hidden="false" customHeight="true" outlineLevel="0" collapsed="false">
      <c r="P459" s="1"/>
    </row>
    <row r="460" customFormat="false" ht="15.75" hidden="false" customHeight="true" outlineLevel="0" collapsed="false">
      <c r="P460" s="1"/>
    </row>
    <row r="461" customFormat="false" ht="15.75" hidden="false" customHeight="true" outlineLevel="0" collapsed="false">
      <c r="P461" s="1"/>
    </row>
    <row r="462" customFormat="false" ht="15.75" hidden="false" customHeight="true" outlineLevel="0" collapsed="false">
      <c r="P462" s="1"/>
    </row>
    <row r="463" customFormat="false" ht="15.75" hidden="false" customHeight="true" outlineLevel="0" collapsed="false">
      <c r="P463" s="1"/>
    </row>
    <row r="464" customFormat="false" ht="15.75" hidden="false" customHeight="true" outlineLevel="0" collapsed="false">
      <c r="P464" s="1"/>
    </row>
    <row r="465" customFormat="false" ht="15.75" hidden="false" customHeight="true" outlineLevel="0" collapsed="false">
      <c r="P465" s="1"/>
    </row>
    <row r="466" customFormat="false" ht="15.75" hidden="false" customHeight="true" outlineLevel="0" collapsed="false">
      <c r="P466" s="1"/>
    </row>
    <row r="467" customFormat="false" ht="15.75" hidden="false" customHeight="true" outlineLevel="0" collapsed="false">
      <c r="P467" s="1"/>
    </row>
    <row r="468" customFormat="false" ht="15.75" hidden="false" customHeight="true" outlineLevel="0" collapsed="false">
      <c r="P468" s="1"/>
    </row>
    <row r="469" customFormat="false" ht="15.75" hidden="false" customHeight="true" outlineLevel="0" collapsed="false">
      <c r="P469" s="1"/>
    </row>
    <row r="470" customFormat="false" ht="15.75" hidden="false" customHeight="true" outlineLevel="0" collapsed="false">
      <c r="P470" s="1"/>
    </row>
    <row r="471" customFormat="false" ht="15.75" hidden="false" customHeight="true" outlineLevel="0" collapsed="false">
      <c r="P471" s="1"/>
    </row>
    <row r="472" customFormat="false" ht="15.75" hidden="false" customHeight="true" outlineLevel="0" collapsed="false">
      <c r="P472" s="1"/>
    </row>
    <row r="473" customFormat="false" ht="15.75" hidden="false" customHeight="true" outlineLevel="0" collapsed="false">
      <c r="P473" s="1"/>
    </row>
    <row r="474" customFormat="false" ht="15.75" hidden="false" customHeight="true" outlineLevel="0" collapsed="false">
      <c r="P474" s="1"/>
    </row>
    <row r="475" customFormat="false" ht="15.75" hidden="false" customHeight="true" outlineLevel="0" collapsed="false">
      <c r="P475" s="1"/>
    </row>
    <row r="476" customFormat="false" ht="15.75" hidden="false" customHeight="true" outlineLevel="0" collapsed="false">
      <c r="P476" s="1"/>
    </row>
    <row r="477" customFormat="false" ht="15.75" hidden="false" customHeight="true" outlineLevel="0" collapsed="false">
      <c r="P477" s="1"/>
    </row>
    <row r="478" customFormat="false" ht="15.75" hidden="false" customHeight="true" outlineLevel="0" collapsed="false">
      <c r="P478" s="1"/>
    </row>
    <row r="479" customFormat="false" ht="15.75" hidden="false" customHeight="true" outlineLevel="0" collapsed="false">
      <c r="P479" s="1"/>
    </row>
    <row r="480" customFormat="false" ht="15.75" hidden="false" customHeight="true" outlineLevel="0" collapsed="false">
      <c r="P480" s="1"/>
    </row>
    <row r="481" customFormat="false" ht="15.75" hidden="false" customHeight="true" outlineLevel="0" collapsed="false">
      <c r="P481" s="1"/>
    </row>
    <row r="482" customFormat="false" ht="15.75" hidden="false" customHeight="true" outlineLevel="0" collapsed="false">
      <c r="P482" s="1"/>
    </row>
    <row r="483" customFormat="false" ht="15.75" hidden="false" customHeight="true" outlineLevel="0" collapsed="false">
      <c r="P483" s="1"/>
    </row>
    <row r="484" customFormat="false" ht="15.75" hidden="false" customHeight="true" outlineLevel="0" collapsed="false">
      <c r="P484" s="1"/>
    </row>
    <row r="485" customFormat="false" ht="15.75" hidden="false" customHeight="true" outlineLevel="0" collapsed="false">
      <c r="P485" s="1"/>
    </row>
    <row r="486" customFormat="false" ht="15.75" hidden="false" customHeight="true" outlineLevel="0" collapsed="false">
      <c r="P486" s="1"/>
    </row>
    <row r="487" customFormat="false" ht="15.75" hidden="false" customHeight="true" outlineLevel="0" collapsed="false">
      <c r="P487" s="1"/>
    </row>
    <row r="488" customFormat="false" ht="15.75" hidden="false" customHeight="true" outlineLevel="0" collapsed="false">
      <c r="P488" s="1"/>
    </row>
    <row r="489" customFormat="false" ht="15.75" hidden="false" customHeight="true" outlineLevel="0" collapsed="false">
      <c r="P489" s="1"/>
    </row>
    <row r="490" customFormat="false" ht="15.75" hidden="false" customHeight="true" outlineLevel="0" collapsed="false">
      <c r="P490" s="1"/>
    </row>
    <row r="491" customFormat="false" ht="15.75" hidden="false" customHeight="true" outlineLevel="0" collapsed="false">
      <c r="P491" s="1"/>
    </row>
    <row r="492" customFormat="false" ht="15.75" hidden="false" customHeight="true" outlineLevel="0" collapsed="false">
      <c r="P492" s="1"/>
    </row>
    <row r="493" customFormat="false" ht="15.75" hidden="false" customHeight="true" outlineLevel="0" collapsed="false">
      <c r="P493" s="1"/>
    </row>
    <row r="494" customFormat="false" ht="15.75" hidden="false" customHeight="true" outlineLevel="0" collapsed="false">
      <c r="P494" s="1"/>
    </row>
    <row r="495" customFormat="false" ht="15.75" hidden="false" customHeight="true" outlineLevel="0" collapsed="false">
      <c r="P495" s="1"/>
    </row>
    <row r="496" customFormat="false" ht="15.75" hidden="false" customHeight="true" outlineLevel="0" collapsed="false">
      <c r="P496" s="1"/>
    </row>
    <row r="497" customFormat="false" ht="15.75" hidden="false" customHeight="true" outlineLevel="0" collapsed="false">
      <c r="P497" s="1"/>
    </row>
    <row r="498" customFormat="false" ht="15.75" hidden="false" customHeight="true" outlineLevel="0" collapsed="false">
      <c r="P498" s="1"/>
    </row>
    <row r="499" customFormat="false" ht="15.75" hidden="false" customHeight="true" outlineLevel="0" collapsed="false">
      <c r="P499" s="1"/>
    </row>
    <row r="500" customFormat="false" ht="15.75" hidden="false" customHeight="true" outlineLevel="0" collapsed="false">
      <c r="P500" s="1"/>
    </row>
    <row r="501" customFormat="false" ht="15.75" hidden="false" customHeight="true" outlineLevel="0" collapsed="false">
      <c r="P501" s="1"/>
    </row>
    <row r="502" customFormat="false" ht="15.75" hidden="false" customHeight="true" outlineLevel="0" collapsed="false">
      <c r="P502" s="1"/>
    </row>
    <row r="503" customFormat="false" ht="15.75" hidden="false" customHeight="true" outlineLevel="0" collapsed="false">
      <c r="P503" s="1"/>
    </row>
    <row r="504" customFormat="false" ht="15.75" hidden="false" customHeight="true" outlineLevel="0" collapsed="false">
      <c r="P504" s="1"/>
    </row>
    <row r="505" customFormat="false" ht="15.75" hidden="false" customHeight="true" outlineLevel="0" collapsed="false">
      <c r="P505" s="1"/>
    </row>
    <row r="506" customFormat="false" ht="15.75" hidden="false" customHeight="true" outlineLevel="0" collapsed="false">
      <c r="P506" s="1"/>
    </row>
    <row r="507" customFormat="false" ht="15.75" hidden="false" customHeight="true" outlineLevel="0" collapsed="false">
      <c r="P507" s="1"/>
    </row>
    <row r="508" customFormat="false" ht="15.75" hidden="false" customHeight="true" outlineLevel="0" collapsed="false">
      <c r="P508" s="1"/>
    </row>
    <row r="509" customFormat="false" ht="15.75" hidden="false" customHeight="true" outlineLevel="0" collapsed="false">
      <c r="P509" s="1"/>
    </row>
    <row r="510" customFormat="false" ht="15.75" hidden="false" customHeight="true" outlineLevel="0" collapsed="false">
      <c r="P510" s="1"/>
    </row>
    <row r="511" customFormat="false" ht="15.75" hidden="false" customHeight="true" outlineLevel="0" collapsed="false">
      <c r="P511" s="1"/>
    </row>
    <row r="512" customFormat="false" ht="15.75" hidden="false" customHeight="true" outlineLevel="0" collapsed="false">
      <c r="P512" s="1"/>
    </row>
    <row r="513" customFormat="false" ht="15.75" hidden="false" customHeight="true" outlineLevel="0" collapsed="false">
      <c r="P513" s="1"/>
    </row>
    <row r="514" customFormat="false" ht="15.75" hidden="false" customHeight="true" outlineLevel="0" collapsed="false">
      <c r="P514" s="1"/>
    </row>
    <row r="515" customFormat="false" ht="15.75" hidden="false" customHeight="true" outlineLevel="0" collapsed="false">
      <c r="P515" s="1"/>
    </row>
    <row r="516" customFormat="false" ht="15.75" hidden="false" customHeight="true" outlineLevel="0" collapsed="false">
      <c r="P516" s="1"/>
    </row>
    <row r="517" customFormat="false" ht="15.75" hidden="false" customHeight="true" outlineLevel="0" collapsed="false">
      <c r="P517" s="1"/>
    </row>
    <row r="518" customFormat="false" ht="15.75" hidden="false" customHeight="true" outlineLevel="0" collapsed="false">
      <c r="P518" s="1"/>
    </row>
    <row r="519" customFormat="false" ht="15.75" hidden="false" customHeight="true" outlineLevel="0" collapsed="false">
      <c r="P519" s="1"/>
    </row>
    <row r="520" customFormat="false" ht="15.75" hidden="false" customHeight="true" outlineLevel="0" collapsed="false">
      <c r="P520" s="1"/>
    </row>
    <row r="521" customFormat="false" ht="15.75" hidden="false" customHeight="true" outlineLevel="0" collapsed="false">
      <c r="P521" s="1"/>
    </row>
    <row r="522" customFormat="false" ht="15.75" hidden="false" customHeight="true" outlineLevel="0" collapsed="false">
      <c r="P522" s="1"/>
    </row>
    <row r="523" customFormat="false" ht="15.75" hidden="false" customHeight="true" outlineLevel="0" collapsed="false">
      <c r="P523" s="1"/>
    </row>
    <row r="524" customFormat="false" ht="15.75" hidden="false" customHeight="true" outlineLevel="0" collapsed="false">
      <c r="P524" s="1"/>
    </row>
    <row r="525" customFormat="false" ht="15.75" hidden="false" customHeight="true" outlineLevel="0" collapsed="false">
      <c r="P525" s="1"/>
    </row>
    <row r="526" customFormat="false" ht="15.75" hidden="false" customHeight="true" outlineLevel="0" collapsed="false">
      <c r="P526" s="1"/>
    </row>
    <row r="527" customFormat="false" ht="15.75" hidden="false" customHeight="true" outlineLevel="0" collapsed="false">
      <c r="P527" s="1"/>
    </row>
    <row r="528" customFormat="false" ht="15.75" hidden="false" customHeight="true" outlineLevel="0" collapsed="false">
      <c r="P528" s="1"/>
    </row>
    <row r="529" customFormat="false" ht="15.75" hidden="false" customHeight="true" outlineLevel="0" collapsed="false">
      <c r="P529" s="1"/>
    </row>
    <row r="530" customFormat="false" ht="15.75" hidden="false" customHeight="true" outlineLevel="0" collapsed="false">
      <c r="P530" s="1"/>
    </row>
    <row r="531" customFormat="false" ht="15.75" hidden="false" customHeight="true" outlineLevel="0" collapsed="false">
      <c r="P531" s="1"/>
    </row>
    <row r="532" customFormat="false" ht="15.75" hidden="false" customHeight="true" outlineLevel="0" collapsed="false">
      <c r="P532" s="1"/>
    </row>
    <row r="533" customFormat="false" ht="15.75" hidden="false" customHeight="true" outlineLevel="0" collapsed="false">
      <c r="P533" s="1"/>
    </row>
    <row r="534" customFormat="false" ht="15.75" hidden="false" customHeight="true" outlineLevel="0" collapsed="false">
      <c r="P534" s="1"/>
    </row>
    <row r="535" customFormat="false" ht="15.75" hidden="false" customHeight="true" outlineLevel="0" collapsed="false">
      <c r="P535" s="1"/>
    </row>
    <row r="536" customFormat="false" ht="15.75" hidden="false" customHeight="true" outlineLevel="0" collapsed="false">
      <c r="P536" s="1"/>
    </row>
    <row r="537" customFormat="false" ht="15.75" hidden="false" customHeight="true" outlineLevel="0" collapsed="false">
      <c r="P537" s="1"/>
    </row>
    <row r="538" customFormat="false" ht="15.75" hidden="false" customHeight="true" outlineLevel="0" collapsed="false">
      <c r="P538" s="1"/>
    </row>
    <row r="539" customFormat="false" ht="15.75" hidden="false" customHeight="true" outlineLevel="0" collapsed="false">
      <c r="P539" s="1"/>
    </row>
    <row r="540" customFormat="false" ht="15.75" hidden="false" customHeight="true" outlineLevel="0" collapsed="false">
      <c r="P540" s="1"/>
    </row>
    <row r="541" customFormat="false" ht="15.75" hidden="false" customHeight="true" outlineLevel="0" collapsed="false">
      <c r="P541" s="1"/>
    </row>
    <row r="542" customFormat="false" ht="15.75" hidden="false" customHeight="true" outlineLevel="0" collapsed="false">
      <c r="P542" s="1"/>
    </row>
    <row r="543" customFormat="false" ht="15.75" hidden="false" customHeight="true" outlineLevel="0" collapsed="false">
      <c r="P543" s="1"/>
    </row>
    <row r="544" customFormat="false" ht="15.75" hidden="false" customHeight="true" outlineLevel="0" collapsed="false">
      <c r="P544" s="1"/>
    </row>
    <row r="545" customFormat="false" ht="15.75" hidden="false" customHeight="true" outlineLevel="0" collapsed="false">
      <c r="P545" s="1"/>
    </row>
    <row r="546" customFormat="false" ht="15.75" hidden="false" customHeight="true" outlineLevel="0" collapsed="false">
      <c r="P546" s="1"/>
    </row>
    <row r="547" customFormat="false" ht="15.75" hidden="false" customHeight="true" outlineLevel="0" collapsed="false">
      <c r="P547" s="1"/>
    </row>
    <row r="548" customFormat="false" ht="15.75" hidden="false" customHeight="true" outlineLevel="0" collapsed="false">
      <c r="P548" s="1"/>
    </row>
    <row r="549" customFormat="false" ht="15.75" hidden="false" customHeight="true" outlineLevel="0" collapsed="false">
      <c r="P549" s="1"/>
    </row>
    <row r="550" customFormat="false" ht="15.75" hidden="false" customHeight="true" outlineLevel="0" collapsed="false">
      <c r="P550" s="1"/>
    </row>
    <row r="551" customFormat="false" ht="15.75" hidden="false" customHeight="true" outlineLevel="0" collapsed="false">
      <c r="P551" s="1"/>
    </row>
    <row r="552" customFormat="false" ht="15.75" hidden="false" customHeight="true" outlineLevel="0" collapsed="false">
      <c r="P552" s="1"/>
    </row>
    <row r="553" customFormat="false" ht="15.75" hidden="false" customHeight="true" outlineLevel="0" collapsed="false">
      <c r="P553" s="1"/>
    </row>
    <row r="554" customFormat="false" ht="15.75" hidden="false" customHeight="true" outlineLevel="0" collapsed="false">
      <c r="P554" s="1"/>
    </row>
    <row r="555" customFormat="false" ht="15.75" hidden="false" customHeight="true" outlineLevel="0" collapsed="false">
      <c r="P555" s="1"/>
    </row>
    <row r="556" customFormat="false" ht="15.75" hidden="false" customHeight="true" outlineLevel="0" collapsed="false">
      <c r="P556" s="1"/>
    </row>
    <row r="557" customFormat="false" ht="15.75" hidden="false" customHeight="true" outlineLevel="0" collapsed="false">
      <c r="P557" s="1"/>
    </row>
    <row r="558" customFormat="false" ht="15.75" hidden="false" customHeight="true" outlineLevel="0" collapsed="false">
      <c r="P558" s="1"/>
    </row>
    <row r="559" customFormat="false" ht="15.75" hidden="false" customHeight="true" outlineLevel="0" collapsed="false">
      <c r="P559" s="1"/>
    </row>
    <row r="560" customFormat="false" ht="15.75" hidden="false" customHeight="true" outlineLevel="0" collapsed="false">
      <c r="P560" s="1"/>
    </row>
    <row r="561" customFormat="false" ht="15.75" hidden="false" customHeight="true" outlineLevel="0" collapsed="false">
      <c r="P561" s="1"/>
    </row>
    <row r="562" customFormat="false" ht="15.75" hidden="false" customHeight="true" outlineLevel="0" collapsed="false">
      <c r="P562" s="1"/>
    </row>
    <row r="563" customFormat="false" ht="15.75" hidden="false" customHeight="true" outlineLevel="0" collapsed="false">
      <c r="P563" s="1"/>
    </row>
    <row r="564" customFormat="false" ht="15.75" hidden="false" customHeight="true" outlineLevel="0" collapsed="false">
      <c r="P564" s="1"/>
    </row>
    <row r="565" customFormat="false" ht="15.75" hidden="false" customHeight="true" outlineLevel="0" collapsed="false">
      <c r="P565" s="1"/>
    </row>
    <row r="566" customFormat="false" ht="15.75" hidden="false" customHeight="true" outlineLevel="0" collapsed="false">
      <c r="P566" s="1"/>
    </row>
    <row r="567" customFormat="false" ht="15.75" hidden="false" customHeight="true" outlineLevel="0" collapsed="false">
      <c r="P567" s="1"/>
    </row>
    <row r="568" customFormat="false" ht="15.75" hidden="false" customHeight="true" outlineLevel="0" collapsed="false">
      <c r="P568" s="1"/>
    </row>
    <row r="569" customFormat="false" ht="15.75" hidden="false" customHeight="true" outlineLevel="0" collapsed="false">
      <c r="P569" s="1"/>
    </row>
    <row r="570" customFormat="false" ht="15.75" hidden="false" customHeight="true" outlineLevel="0" collapsed="false">
      <c r="P570" s="1"/>
    </row>
    <row r="571" customFormat="false" ht="15.75" hidden="false" customHeight="true" outlineLevel="0" collapsed="false">
      <c r="P571" s="1"/>
    </row>
    <row r="572" customFormat="false" ht="15.75" hidden="false" customHeight="true" outlineLevel="0" collapsed="false">
      <c r="P572" s="1"/>
    </row>
    <row r="573" customFormat="false" ht="15.75" hidden="false" customHeight="true" outlineLevel="0" collapsed="false">
      <c r="P573" s="1"/>
    </row>
    <row r="574" customFormat="false" ht="15.75" hidden="false" customHeight="true" outlineLevel="0" collapsed="false">
      <c r="P574" s="1"/>
    </row>
    <row r="575" customFormat="false" ht="15.75" hidden="false" customHeight="true" outlineLevel="0" collapsed="false">
      <c r="P575" s="1"/>
    </row>
    <row r="576" customFormat="false" ht="15.75" hidden="false" customHeight="true" outlineLevel="0" collapsed="false">
      <c r="P576" s="1"/>
    </row>
    <row r="577" customFormat="false" ht="15.75" hidden="false" customHeight="true" outlineLevel="0" collapsed="false">
      <c r="P577" s="1"/>
    </row>
    <row r="578" customFormat="false" ht="15.75" hidden="false" customHeight="true" outlineLevel="0" collapsed="false">
      <c r="P578" s="1"/>
    </row>
    <row r="579" customFormat="false" ht="15.75" hidden="false" customHeight="true" outlineLevel="0" collapsed="false">
      <c r="P579" s="1"/>
    </row>
    <row r="580" customFormat="false" ht="15.75" hidden="false" customHeight="true" outlineLevel="0" collapsed="false">
      <c r="P580" s="1"/>
    </row>
    <row r="581" customFormat="false" ht="15.75" hidden="false" customHeight="true" outlineLevel="0" collapsed="false">
      <c r="P581" s="1"/>
    </row>
    <row r="582" customFormat="false" ht="15.75" hidden="false" customHeight="true" outlineLevel="0" collapsed="false">
      <c r="P582" s="1"/>
    </row>
    <row r="583" customFormat="false" ht="15.75" hidden="false" customHeight="true" outlineLevel="0" collapsed="false">
      <c r="P583" s="1"/>
    </row>
    <row r="584" customFormat="false" ht="15.75" hidden="false" customHeight="true" outlineLevel="0" collapsed="false">
      <c r="P584" s="1"/>
    </row>
    <row r="585" customFormat="false" ht="15.75" hidden="false" customHeight="true" outlineLevel="0" collapsed="false">
      <c r="P585" s="1"/>
    </row>
    <row r="586" customFormat="false" ht="15.75" hidden="false" customHeight="true" outlineLevel="0" collapsed="false">
      <c r="P586" s="1"/>
    </row>
    <row r="587" customFormat="false" ht="15.75" hidden="false" customHeight="true" outlineLevel="0" collapsed="false">
      <c r="P587" s="1"/>
    </row>
    <row r="588" customFormat="false" ht="15.75" hidden="false" customHeight="true" outlineLevel="0" collapsed="false">
      <c r="P588" s="1"/>
    </row>
    <row r="589" customFormat="false" ht="15.75" hidden="false" customHeight="true" outlineLevel="0" collapsed="false">
      <c r="P589" s="1"/>
    </row>
    <row r="590" customFormat="false" ht="15.75" hidden="false" customHeight="true" outlineLevel="0" collapsed="false">
      <c r="P590" s="1"/>
    </row>
    <row r="591" customFormat="false" ht="15.75" hidden="false" customHeight="true" outlineLevel="0" collapsed="false">
      <c r="P591" s="1"/>
    </row>
    <row r="592" customFormat="false" ht="15.75" hidden="false" customHeight="true" outlineLevel="0" collapsed="false">
      <c r="P592" s="1"/>
    </row>
    <row r="593" customFormat="false" ht="15.75" hidden="false" customHeight="true" outlineLevel="0" collapsed="false">
      <c r="P593" s="1"/>
    </row>
    <row r="594" customFormat="false" ht="15.75" hidden="false" customHeight="true" outlineLevel="0" collapsed="false">
      <c r="P594" s="1"/>
    </row>
    <row r="595" customFormat="false" ht="15.75" hidden="false" customHeight="true" outlineLevel="0" collapsed="false">
      <c r="P595" s="1"/>
    </row>
    <row r="596" customFormat="false" ht="15.75" hidden="false" customHeight="true" outlineLevel="0" collapsed="false">
      <c r="P596" s="1"/>
    </row>
    <row r="597" customFormat="false" ht="15.75" hidden="false" customHeight="true" outlineLevel="0" collapsed="false">
      <c r="P597" s="1"/>
    </row>
    <row r="598" customFormat="false" ht="15.75" hidden="false" customHeight="true" outlineLevel="0" collapsed="false">
      <c r="P598" s="1"/>
    </row>
    <row r="599" customFormat="false" ht="15.75" hidden="false" customHeight="true" outlineLevel="0" collapsed="false">
      <c r="P599" s="1"/>
    </row>
    <row r="600" customFormat="false" ht="15.75" hidden="false" customHeight="true" outlineLevel="0" collapsed="false">
      <c r="P600" s="1"/>
    </row>
    <row r="601" customFormat="false" ht="15.75" hidden="false" customHeight="true" outlineLevel="0" collapsed="false">
      <c r="P601" s="1"/>
    </row>
    <row r="602" customFormat="false" ht="15.75" hidden="false" customHeight="true" outlineLevel="0" collapsed="false">
      <c r="P602" s="1"/>
    </row>
    <row r="603" customFormat="false" ht="15.75" hidden="false" customHeight="true" outlineLevel="0" collapsed="false">
      <c r="P603" s="1"/>
    </row>
    <row r="604" customFormat="false" ht="15.75" hidden="false" customHeight="true" outlineLevel="0" collapsed="false">
      <c r="P604" s="1"/>
    </row>
    <row r="605" customFormat="false" ht="15.75" hidden="false" customHeight="true" outlineLevel="0" collapsed="false">
      <c r="P605" s="1"/>
    </row>
    <row r="606" customFormat="false" ht="15.75" hidden="false" customHeight="true" outlineLevel="0" collapsed="false">
      <c r="P606" s="1"/>
    </row>
    <row r="607" customFormat="false" ht="15.75" hidden="false" customHeight="true" outlineLevel="0" collapsed="false">
      <c r="P607" s="1"/>
    </row>
    <row r="608" customFormat="false" ht="15.75" hidden="false" customHeight="true" outlineLevel="0" collapsed="false">
      <c r="P608" s="1"/>
    </row>
    <row r="609" customFormat="false" ht="15.75" hidden="false" customHeight="true" outlineLevel="0" collapsed="false">
      <c r="P609" s="1"/>
    </row>
    <row r="610" customFormat="false" ht="15.75" hidden="false" customHeight="true" outlineLevel="0" collapsed="false">
      <c r="P610" s="1"/>
    </row>
    <row r="611" customFormat="false" ht="15.75" hidden="false" customHeight="true" outlineLevel="0" collapsed="false">
      <c r="P611" s="1"/>
    </row>
    <row r="612" customFormat="false" ht="15.75" hidden="false" customHeight="true" outlineLevel="0" collapsed="false">
      <c r="P612" s="1"/>
    </row>
    <row r="613" customFormat="false" ht="15.75" hidden="false" customHeight="true" outlineLevel="0" collapsed="false">
      <c r="P613" s="1"/>
    </row>
    <row r="614" customFormat="false" ht="15.75" hidden="false" customHeight="true" outlineLevel="0" collapsed="false">
      <c r="P614" s="1"/>
    </row>
    <row r="615" customFormat="false" ht="15.75" hidden="false" customHeight="true" outlineLevel="0" collapsed="false">
      <c r="P615" s="1"/>
    </row>
    <row r="616" customFormat="false" ht="15.75" hidden="false" customHeight="true" outlineLevel="0" collapsed="false">
      <c r="P616" s="1"/>
    </row>
    <row r="617" customFormat="false" ht="15.75" hidden="false" customHeight="true" outlineLevel="0" collapsed="false">
      <c r="P617" s="1"/>
    </row>
    <row r="618" customFormat="false" ht="15.75" hidden="false" customHeight="true" outlineLevel="0" collapsed="false">
      <c r="P618" s="1"/>
    </row>
    <row r="619" customFormat="false" ht="15.75" hidden="false" customHeight="true" outlineLevel="0" collapsed="false">
      <c r="P619" s="1"/>
    </row>
    <row r="620" customFormat="false" ht="15.75" hidden="false" customHeight="true" outlineLevel="0" collapsed="false">
      <c r="P620" s="1"/>
    </row>
    <row r="621" customFormat="false" ht="15.75" hidden="false" customHeight="true" outlineLevel="0" collapsed="false">
      <c r="P621" s="1"/>
    </row>
    <row r="622" customFormat="false" ht="15.75" hidden="false" customHeight="true" outlineLevel="0" collapsed="false">
      <c r="P622" s="1"/>
    </row>
    <row r="623" customFormat="false" ht="15.75" hidden="false" customHeight="true" outlineLevel="0" collapsed="false">
      <c r="P623" s="1"/>
    </row>
    <row r="624" customFormat="false" ht="15.75" hidden="false" customHeight="true" outlineLevel="0" collapsed="false">
      <c r="P624" s="1"/>
    </row>
    <row r="625" customFormat="false" ht="15.75" hidden="false" customHeight="true" outlineLevel="0" collapsed="false">
      <c r="P625" s="1"/>
    </row>
    <row r="626" customFormat="false" ht="15.75" hidden="false" customHeight="true" outlineLevel="0" collapsed="false">
      <c r="P626" s="1"/>
    </row>
    <row r="627" customFormat="false" ht="15.75" hidden="false" customHeight="true" outlineLevel="0" collapsed="false">
      <c r="P627" s="1"/>
    </row>
    <row r="628" customFormat="false" ht="15.75" hidden="false" customHeight="true" outlineLevel="0" collapsed="false">
      <c r="P628" s="1"/>
    </row>
    <row r="629" customFormat="false" ht="15.75" hidden="false" customHeight="true" outlineLevel="0" collapsed="false">
      <c r="P629" s="1"/>
    </row>
    <row r="630" customFormat="false" ht="15.75" hidden="false" customHeight="true" outlineLevel="0" collapsed="false">
      <c r="P630" s="1"/>
    </row>
    <row r="631" customFormat="false" ht="15.75" hidden="false" customHeight="true" outlineLevel="0" collapsed="false">
      <c r="P631" s="1"/>
    </row>
    <row r="632" customFormat="false" ht="15.75" hidden="false" customHeight="true" outlineLevel="0" collapsed="false">
      <c r="P632" s="1"/>
    </row>
    <row r="633" customFormat="false" ht="15.75" hidden="false" customHeight="true" outlineLevel="0" collapsed="false">
      <c r="P633" s="1"/>
    </row>
    <row r="634" customFormat="false" ht="15.75" hidden="false" customHeight="true" outlineLevel="0" collapsed="false">
      <c r="P634" s="1"/>
    </row>
    <row r="635" customFormat="false" ht="15.75" hidden="false" customHeight="true" outlineLevel="0" collapsed="false">
      <c r="P635" s="1"/>
    </row>
    <row r="636" customFormat="false" ht="15.75" hidden="false" customHeight="true" outlineLevel="0" collapsed="false">
      <c r="P636" s="1"/>
    </row>
    <row r="637" customFormat="false" ht="15.75" hidden="false" customHeight="true" outlineLevel="0" collapsed="false">
      <c r="P637" s="1"/>
    </row>
    <row r="638" customFormat="false" ht="15.75" hidden="false" customHeight="true" outlineLevel="0" collapsed="false">
      <c r="P638" s="1"/>
    </row>
    <row r="639" customFormat="false" ht="15.75" hidden="false" customHeight="true" outlineLevel="0" collapsed="false">
      <c r="P639" s="1"/>
    </row>
    <row r="640" customFormat="false" ht="15.75" hidden="false" customHeight="true" outlineLevel="0" collapsed="false">
      <c r="P640" s="1"/>
    </row>
    <row r="641" customFormat="false" ht="15.75" hidden="false" customHeight="true" outlineLevel="0" collapsed="false">
      <c r="P641" s="1"/>
    </row>
    <row r="642" customFormat="false" ht="15.75" hidden="false" customHeight="true" outlineLevel="0" collapsed="false">
      <c r="P642" s="1"/>
    </row>
    <row r="643" customFormat="false" ht="15.75" hidden="false" customHeight="true" outlineLevel="0" collapsed="false">
      <c r="P643" s="1"/>
    </row>
    <row r="644" customFormat="false" ht="15.75" hidden="false" customHeight="true" outlineLevel="0" collapsed="false">
      <c r="P644" s="1"/>
    </row>
    <row r="645" customFormat="false" ht="15.75" hidden="false" customHeight="true" outlineLevel="0" collapsed="false">
      <c r="P645" s="1"/>
    </row>
    <row r="646" customFormat="false" ht="15.75" hidden="false" customHeight="true" outlineLevel="0" collapsed="false">
      <c r="P646" s="1"/>
    </row>
    <row r="647" customFormat="false" ht="15.75" hidden="false" customHeight="true" outlineLevel="0" collapsed="false">
      <c r="P647" s="1"/>
    </row>
    <row r="648" customFormat="false" ht="15.75" hidden="false" customHeight="true" outlineLevel="0" collapsed="false">
      <c r="P648" s="1"/>
    </row>
    <row r="649" customFormat="false" ht="15.75" hidden="false" customHeight="true" outlineLevel="0" collapsed="false">
      <c r="P649" s="1"/>
    </row>
    <row r="650" customFormat="false" ht="15.75" hidden="false" customHeight="true" outlineLevel="0" collapsed="false">
      <c r="P650" s="1"/>
    </row>
    <row r="651" customFormat="false" ht="15.75" hidden="false" customHeight="true" outlineLevel="0" collapsed="false">
      <c r="P651" s="1"/>
    </row>
    <row r="652" customFormat="false" ht="15.75" hidden="false" customHeight="true" outlineLevel="0" collapsed="false">
      <c r="P652" s="1"/>
    </row>
    <row r="653" customFormat="false" ht="15.75" hidden="false" customHeight="true" outlineLevel="0" collapsed="false">
      <c r="P653" s="1"/>
    </row>
    <row r="654" customFormat="false" ht="15.75" hidden="false" customHeight="true" outlineLevel="0" collapsed="false">
      <c r="P654" s="1"/>
    </row>
    <row r="655" customFormat="false" ht="15.75" hidden="false" customHeight="true" outlineLevel="0" collapsed="false">
      <c r="P655" s="1"/>
    </row>
    <row r="656" customFormat="false" ht="15.75" hidden="false" customHeight="true" outlineLevel="0" collapsed="false">
      <c r="P656" s="1"/>
    </row>
    <row r="657" customFormat="false" ht="15.75" hidden="false" customHeight="true" outlineLevel="0" collapsed="false">
      <c r="P657" s="1"/>
    </row>
    <row r="658" customFormat="false" ht="15.75" hidden="false" customHeight="true" outlineLevel="0" collapsed="false">
      <c r="P658" s="1"/>
    </row>
    <row r="659" customFormat="false" ht="15.75" hidden="false" customHeight="true" outlineLevel="0" collapsed="false">
      <c r="P659" s="1"/>
    </row>
    <row r="660" customFormat="false" ht="15.75" hidden="false" customHeight="true" outlineLevel="0" collapsed="false">
      <c r="P660" s="1"/>
    </row>
    <row r="661" customFormat="false" ht="15.75" hidden="false" customHeight="true" outlineLevel="0" collapsed="false">
      <c r="P661" s="1"/>
    </row>
    <row r="662" customFormat="false" ht="15.75" hidden="false" customHeight="true" outlineLevel="0" collapsed="false">
      <c r="P662" s="1"/>
    </row>
    <row r="663" customFormat="false" ht="15.75" hidden="false" customHeight="true" outlineLevel="0" collapsed="false">
      <c r="P663" s="1"/>
    </row>
    <row r="664" customFormat="false" ht="15.75" hidden="false" customHeight="true" outlineLevel="0" collapsed="false">
      <c r="P664" s="1"/>
    </row>
    <row r="665" customFormat="false" ht="15.75" hidden="false" customHeight="true" outlineLevel="0" collapsed="false">
      <c r="P665" s="1"/>
    </row>
    <row r="666" customFormat="false" ht="15.75" hidden="false" customHeight="true" outlineLevel="0" collapsed="false">
      <c r="P666" s="1"/>
    </row>
    <row r="667" customFormat="false" ht="15.75" hidden="false" customHeight="true" outlineLevel="0" collapsed="false">
      <c r="P667" s="1"/>
    </row>
    <row r="668" customFormat="false" ht="15.75" hidden="false" customHeight="true" outlineLevel="0" collapsed="false">
      <c r="P668" s="1"/>
    </row>
    <row r="669" customFormat="false" ht="15.75" hidden="false" customHeight="true" outlineLevel="0" collapsed="false">
      <c r="P669" s="1"/>
    </row>
    <row r="670" customFormat="false" ht="15.75" hidden="false" customHeight="true" outlineLevel="0" collapsed="false">
      <c r="P670" s="1"/>
    </row>
    <row r="671" customFormat="false" ht="15.75" hidden="false" customHeight="true" outlineLevel="0" collapsed="false">
      <c r="P671" s="1"/>
    </row>
    <row r="672" customFormat="false" ht="15.75" hidden="false" customHeight="true" outlineLevel="0" collapsed="false">
      <c r="P672" s="1"/>
    </row>
    <row r="673" customFormat="false" ht="15.75" hidden="false" customHeight="true" outlineLevel="0" collapsed="false">
      <c r="P673" s="1"/>
    </row>
    <row r="674" customFormat="false" ht="15.75" hidden="false" customHeight="true" outlineLevel="0" collapsed="false">
      <c r="P674" s="1"/>
    </row>
    <row r="675" customFormat="false" ht="15.75" hidden="false" customHeight="true" outlineLevel="0" collapsed="false">
      <c r="P675" s="1"/>
    </row>
    <row r="676" customFormat="false" ht="15.75" hidden="false" customHeight="true" outlineLevel="0" collapsed="false">
      <c r="P676" s="1"/>
    </row>
    <row r="677" customFormat="false" ht="15.75" hidden="false" customHeight="true" outlineLevel="0" collapsed="false">
      <c r="P677" s="1"/>
    </row>
    <row r="678" customFormat="false" ht="15.75" hidden="false" customHeight="true" outlineLevel="0" collapsed="false">
      <c r="P678" s="1"/>
    </row>
    <row r="679" customFormat="false" ht="15.75" hidden="false" customHeight="true" outlineLevel="0" collapsed="false">
      <c r="P679" s="1"/>
    </row>
    <row r="680" customFormat="false" ht="15.75" hidden="false" customHeight="true" outlineLevel="0" collapsed="false">
      <c r="P680" s="1"/>
    </row>
    <row r="681" customFormat="false" ht="15.75" hidden="false" customHeight="true" outlineLevel="0" collapsed="false">
      <c r="P681" s="1"/>
    </row>
    <row r="682" customFormat="false" ht="15.75" hidden="false" customHeight="true" outlineLevel="0" collapsed="false">
      <c r="P682" s="1"/>
    </row>
    <row r="683" customFormat="false" ht="15.75" hidden="false" customHeight="true" outlineLevel="0" collapsed="false">
      <c r="P683" s="1"/>
    </row>
    <row r="684" customFormat="false" ht="15.75" hidden="false" customHeight="true" outlineLevel="0" collapsed="false">
      <c r="P684" s="1"/>
    </row>
    <row r="685" customFormat="false" ht="15.75" hidden="false" customHeight="true" outlineLevel="0" collapsed="false">
      <c r="P685" s="1"/>
    </row>
    <row r="686" customFormat="false" ht="15.75" hidden="false" customHeight="true" outlineLevel="0" collapsed="false">
      <c r="P686" s="1"/>
    </row>
    <row r="687" customFormat="false" ht="15.75" hidden="false" customHeight="true" outlineLevel="0" collapsed="false">
      <c r="P687" s="1"/>
    </row>
    <row r="688" customFormat="false" ht="15.75" hidden="false" customHeight="true" outlineLevel="0" collapsed="false">
      <c r="P688" s="1"/>
    </row>
    <row r="689" customFormat="false" ht="15.75" hidden="false" customHeight="true" outlineLevel="0" collapsed="false">
      <c r="P689" s="1"/>
    </row>
    <row r="690" customFormat="false" ht="15.75" hidden="false" customHeight="true" outlineLevel="0" collapsed="false">
      <c r="P690" s="1"/>
    </row>
    <row r="691" customFormat="false" ht="15.75" hidden="false" customHeight="true" outlineLevel="0" collapsed="false">
      <c r="P691" s="1"/>
    </row>
    <row r="692" customFormat="false" ht="15.75" hidden="false" customHeight="true" outlineLevel="0" collapsed="false">
      <c r="P692" s="1"/>
    </row>
    <row r="693" customFormat="false" ht="15.75" hidden="false" customHeight="true" outlineLevel="0" collapsed="false">
      <c r="P693" s="1"/>
    </row>
    <row r="694" customFormat="false" ht="15.75" hidden="false" customHeight="true" outlineLevel="0" collapsed="false">
      <c r="P694" s="1"/>
    </row>
    <row r="695" customFormat="false" ht="15.75" hidden="false" customHeight="true" outlineLevel="0" collapsed="false">
      <c r="P695" s="1"/>
    </row>
    <row r="696" customFormat="false" ht="15.75" hidden="false" customHeight="true" outlineLevel="0" collapsed="false">
      <c r="P696" s="1"/>
    </row>
    <row r="697" customFormat="false" ht="15.75" hidden="false" customHeight="true" outlineLevel="0" collapsed="false">
      <c r="P697" s="1"/>
    </row>
    <row r="698" customFormat="false" ht="15.75" hidden="false" customHeight="true" outlineLevel="0" collapsed="false">
      <c r="P698" s="1"/>
    </row>
    <row r="699" customFormat="false" ht="15.75" hidden="false" customHeight="true" outlineLevel="0" collapsed="false">
      <c r="P699" s="1"/>
    </row>
    <row r="700" customFormat="false" ht="15.75" hidden="false" customHeight="true" outlineLevel="0" collapsed="false">
      <c r="P700" s="1"/>
    </row>
    <row r="701" customFormat="false" ht="15.75" hidden="false" customHeight="true" outlineLevel="0" collapsed="false">
      <c r="P701" s="1"/>
    </row>
    <row r="702" customFormat="false" ht="15.75" hidden="false" customHeight="true" outlineLevel="0" collapsed="false">
      <c r="P702" s="1"/>
    </row>
    <row r="703" customFormat="false" ht="15.75" hidden="false" customHeight="true" outlineLevel="0" collapsed="false">
      <c r="P703" s="1"/>
    </row>
    <row r="704" customFormat="false" ht="15.75" hidden="false" customHeight="true" outlineLevel="0" collapsed="false">
      <c r="P704" s="1"/>
    </row>
    <row r="705" customFormat="false" ht="15.75" hidden="false" customHeight="true" outlineLevel="0" collapsed="false">
      <c r="P705" s="1"/>
    </row>
    <row r="706" customFormat="false" ht="15.75" hidden="false" customHeight="true" outlineLevel="0" collapsed="false">
      <c r="P706" s="1"/>
    </row>
    <row r="707" customFormat="false" ht="15.75" hidden="false" customHeight="true" outlineLevel="0" collapsed="false">
      <c r="P707" s="1"/>
    </row>
    <row r="708" customFormat="false" ht="15.75" hidden="false" customHeight="true" outlineLevel="0" collapsed="false">
      <c r="P708" s="1"/>
    </row>
    <row r="709" customFormat="false" ht="15.75" hidden="false" customHeight="true" outlineLevel="0" collapsed="false">
      <c r="P709" s="1"/>
    </row>
    <row r="710" customFormat="false" ht="15.75" hidden="false" customHeight="true" outlineLevel="0" collapsed="false">
      <c r="P710" s="1"/>
    </row>
    <row r="711" customFormat="false" ht="15.75" hidden="false" customHeight="true" outlineLevel="0" collapsed="false">
      <c r="P711" s="1"/>
    </row>
    <row r="712" customFormat="false" ht="15.75" hidden="false" customHeight="true" outlineLevel="0" collapsed="false">
      <c r="P712" s="1"/>
    </row>
    <row r="713" customFormat="false" ht="15.75" hidden="false" customHeight="true" outlineLevel="0" collapsed="false">
      <c r="P713" s="1"/>
    </row>
    <row r="714" customFormat="false" ht="15.75" hidden="false" customHeight="true" outlineLevel="0" collapsed="false">
      <c r="P714" s="1"/>
    </row>
    <row r="715" customFormat="false" ht="15.75" hidden="false" customHeight="true" outlineLevel="0" collapsed="false">
      <c r="P715" s="1"/>
    </row>
    <row r="716" customFormat="false" ht="15.75" hidden="false" customHeight="true" outlineLevel="0" collapsed="false">
      <c r="P716" s="1"/>
    </row>
    <row r="717" customFormat="false" ht="15.75" hidden="false" customHeight="true" outlineLevel="0" collapsed="false">
      <c r="P717" s="1"/>
    </row>
    <row r="718" customFormat="false" ht="15.75" hidden="false" customHeight="true" outlineLevel="0" collapsed="false">
      <c r="P718" s="1"/>
    </row>
    <row r="719" customFormat="false" ht="15.75" hidden="false" customHeight="true" outlineLevel="0" collapsed="false">
      <c r="P719" s="1"/>
    </row>
    <row r="720" customFormat="false" ht="15.75" hidden="false" customHeight="true" outlineLevel="0" collapsed="false">
      <c r="P720" s="1"/>
    </row>
    <row r="721" customFormat="false" ht="15.75" hidden="false" customHeight="true" outlineLevel="0" collapsed="false">
      <c r="P721" s="1"/>
    </row>
    <row r="722" customFormat="false" ht="15.75" hidden="false" customHeight="true" outlineLevel="0" collapsed="false">
      <c r="P722" s="1"/>
    </row>
    <row r="723" customFormat="false" ht="15.75" hidden="false" customHeight="true" outlineLevel="0" collapsed="false">
      <c r="P723" s="1"/>
    </row>
    <row r="724" customFormat="false" ht="15.75" hidden="false" customHeight="true" outlineLevel="0" collapsed="false">
      <c r="P724" s="1"/>
    </row>
    <row r="725" customFormat="false" ht="15.75" hidden="false" customHeight="true" outlineLevel="0" collapsed="false">
      <c r="P725" s="1"/>
    </row>
    <row r="726" customFormat="false" ht="15.75" hidden="false" customHeight="true" outlineLevel="0" collapsed="false">
      <c r="P726" s="1"/>
    </row>
    <row r="727" customFormat="false" ht="15.75" hidden="false" customHeight="true" outlineLevel="0" collapsed="false">
      <c r="P727" s="1"/>
    </row>
    <row r="728" customFormat="false" ht="15.75" hidden="false" customHeight="true" outlineLevel="0" collapsed="false">
      <c r="P728" s="1"/>
    </row>
    <row r="729" customFormat="false" ht="15.75" hidden="false" customHeight="true" outlineLevel="0" collapsed="false">
      <c r="P729" s="1"/>
    </row>
    <row r="730" customFormat="false" ht="15.75" hidden="false" customHeight="true" outlineLevel="0" collapsed="false">
      <c r="P730" s="1"/>
    </row>
    <row r="731" customFormat="false" ht="15.75" hidden="false" customHeight="true" outlineLevel="0" collapsed="false">
      <c r="P731" s="1"/>
    </row>
    <row r="732" customFormat="false" ht="15.75" hidden="false" customHeight="true" outlineLevel="0" collapsed="false">
      <c r="P732" s="1"/>
    </row>
    <row r="733" customFormat="false" ht="15.75" hidden="false" customHeight="true" outlineLevel="0" collapsed="false">
      <c r="P733" s="1"/>
    </row>
    <row r="734" customFormat="false" ht="15.75" hidden="false" customHeight="true" outlineLevel="0" collapsed="false">
      <c r="P734" s="1"/>
    </row>
    <row r="735" customFormat="false" ht="15.75" hidden="false" customHeight="true" outlineLevel="0" collapsed="false">
      <c r="P735" s="1"/>
    </row>
    <row r="736" customFormat="false" ht="15.75" hidden="false" customHeight="true" outlineLevel="0" collapsed="false">
      <c r="P736" s="1"/>
    </row>
    <row r="737" customFormat="false" ht="15.75" hidden="false" customHeight="true" outlineLevel="0" collapsed="false">
      <c r="P737" s="1"/>
    </row>
    <row r="738" customFormat="false" ht="15.75" hidden="false" customHeight="true" outlineLevel="0" collapsed="false">
      <c r="P738" s="1"/>
    </row>
    <row r="739" customFormat="false" ht="15.75" hidden="false" customHeight="true" outlineLevel="0" collapsed="false">
      <c r="P739" s="1"/>
    </row>
    <row r="740" customFormat="false" ht="15.75" hidden="false" customHeight="true" outlineLevel="0" collapsed="false">
      <c r="P740" s="1"/>
    </row>
    <row r="741" customFormat="false" ht="15.75" hidden="false" customHeight="true" outlineLevel="0" collapsed="false">
      <c r="P741" s="1"/>
    </row>
    <row r="742" customFormat="false" ht="15.75" hidden="false" customHeight="true" outlineLevel="0" collapsed="false">
      <c r="P742" s="1"/>
    </row>
    <row r="743" customFormat="false" ht="15.75" hidden="false" customHeight="true" outlineLevel="0" collapsed="false">
      <c r="P743" s="1"/>
    </row>
    <row r="744" customFormat="false" ht="15.75" hidden="false" customHeight="true" outlineLevel="0" collapsed="false">
      <c r="P744" s="1"/>
    </row>
    <row r="745" customFormat="false" ht="15.75" hidden="false" customHeight="true" outlineLevel="0" collapsed="false">
      <c r="P745" s="1"/>
    </row>
    <row r="746" customFormat="false" ht="15.75" hidden="false" customHeight="true" outlineLevel="0" collapsed="false">
      <c r="P746" s="1"/>
    </row>
    <row r="747" customFormat="false" ht="15.75" hidden="false" customHeight="true" outlineLevel="0" collapsed="false">
      <c r="P747" s="1"/>
    </row>
    <row r="748" customFormat="false" ht="15.75" hidden="false" customHeight="true" outlineLevel="0" collapsed="false">
      <c r="P748" s="1"/>
    </row>
    <row r="749" customFormat="false" ht="15.75" hidden="false" customHeight="true" outlineLevel="0" collapsed="false">
      <c r="P749" s="1"/>
    </row>
    <row r="750" customFormat="false" ht="15.75" hidden="false" customHeight="true" outlineLevel="0" collapsed="false">
      <c r="P750" s="1"/>
    </row>
    <row r="751" customFormat="false" ht="15.75" hidden="false" customHeight="true" outlineLevel="0" collapsed="false">
      <c r="P751" s="1"/>
    </row>
    <row r="752" customFormat="false" ht="15.75" hidden="false" customHeight="true" outlineLevel="0" collapsed="false">
      <c r="P752" s="1"/>
    </row>
    <row r="753" customFormat="false" ht="15.75" hidden="false" customHeight="true" outlineLevel="0" collapsed="false">
      <c r="P753" s="1"/>
    </row>
    <row r="754" customFormat="false" ht="15.75" hidden="false" customHeight="true" outlineLevel="0" collapsed="false">
      <c r="P754" s="1"/>
    </row>
    <row r="755" customFormat="false" ht="15.75" hidden="false" customHeight="true" outlineLevel="0" collapsed="false">
      <c r="P755" s="1"/>
    </row>
    <row r="756" customFormat="false" ht="15.75" hidden="false" customHeight="true" outlineLevel="0" collapsed="false">
      <c r="P756" s="1"/>
    </row>
    <row r="757" customFormat="false" ht="15.75" hidden="false" customHeight="true" outlineLevel="0" collapsed="false">
      <c r="P757" s="1"/>
    </row>
    <row r="758" customFormat="false" ht="15.75" hidden="false" customHeight="true" outlineLevel="0" collapsed="false">
      <c r="P758" s="1"/>
    </row>
    <row r="759" customFormat="false" ht="15.75" hidden="false" customHeight="true" outlineLevel="0" collapsed="false">
      <c r="P759" s="1"/>
    </row>
    <row r="760" customFormat="false" ht="15.75" hidden="false" customHeight="true" outlineLevel="0" collapsed="false">
      <c r="P760" s="1"/>
    </row>
    <row r="761" customFormat="false" ht="15.75" hidden="false" customHeight="true" outlineLevel="0" collapsed="false">
      <c r="P761" s="1"/>
    </row>
    <row r="762" customFormat="false" ht="15.75" hidden="false" customHeight="true" outlineLevel="0" collapsed="false">
      <c r="P762" s="1"/>
    </row>
    <row r="763" customFormat="false" ht="15.75" hidden="false" customHeight="true" outlineLevel="0" collapsed="false">
      <c r="P763" s="1"/>
    </row>
    <row r="764" customFormat="false" ht="15.75" hidden="false" customHeight="true" outlineLevel="0" collapsed="false">
      <c r="P764" s="1"/>
    </row>
    <row r="765" customFormat="false" ht="15.75" hidden="false" customHeight="true" outlineLevel="0" collapsed="false">
      <c r="P765" s="1"/>
    </row>
    <row r="766" customFormat="false" ht="15.75" hidden="false" customHeight="true" outlineLevel="0" collapsed="false">
      <c r="P766" s="1"/>
    </row>
    <row r="767" customFormat="false" ht="15.75" hidden="false" customHeight="true" outlineLevel="0" collapsed="false">
      <c r="P767" s="1"/>
    </row>
    <row r="768" customFormat="false" ht="15.75" hidden="false" customHeight="true" outlineLevel="0" collapsed="false">
      <c r="P768" s="1"/>
    </row>
    <row r="769" customFormat="false" ht="15.75" hidden="false" customHeight="true" outlineLevel="0" collapsed="false">
      <c r="P769" s="1"/>
    </row>
    <row r="770" customFormat="false" ht="15.75" hidden="false" customHeight="true" outlineLevel="0" collapsed="false">
      <c r="P770" s="1"/>
    </row>
    <row r="771" customFormat="false" ht="15.75" hidden="false" customHeight="true" outlineLevel="0" collapsed="false">
      <c r="P771" s="1"/>
    </row>
    <row r="772" customFormat="false" ht="15.75" hidden="false" customHeight="true" outlineLevel="0" collapsed="false">
      <c r="P772" s="1"/>
    </row>
    <row r="773" customFormat="false" ht="15.75" hidden="false" customHeight="true" outlineLevel="0" collapsed="false">
      <c r="P773" s="1"/>
    </row>
    <row r="774" customFormat="false" ht="15.75" hidden="false" customHeight="true" outlineLevel="0" collapsed="false">
      <c r="P774" s="1"/>
    </row>
    <row r="775" customFormat="false" ht="15.75" hidden="false" customHeight="true" outlineLevel="0" collapsed="false">
      <c r="P775" s="1"/>
    </row>
    <row r="776" customFormat="false" ht="15.75" hidden="false" customHeight="true" outlineLevel="0" collapsed="false">
      <c r="P776" s="1"/>
    </row>
    <row r="777" customFormat="false" ht="15.75" hidden="false" customHeight="true" outlineLevel="0" collapsed="false">
      <c r="P777" s="1"/>
    </row>
    <row r="778" customFormat="false" ht="15.75" hidden="false" customHeight="true" outlineLevel="0" collapsed="false">
      <c r="P778" s="1"/>
    </row>
    <row r="779" customFormat="false" ht="15.75" hidden="false" customHeight="true" outlineLevel="0" collapsed="false">
      <c r="P779" s="1"/>
    </row>
    <row r="780" customFormat="false" ht="15.75" hidden="false" customHeight="true" outlineLevel="0" collapsed="false">
      <c r="P780" s="1"/>
    </row>
    <row r="781" customFormat="false" ht="15.75" hidden="false" customHeight="true" outlineLevel="0" collapsed="false">
      <c r="P781" s="1"/>
    </row>
    <row r="782" customFormat="false" ht="15.75" hidden="false" customHeight="true" outlineLevel="0" collapsed="false">
      <c r="P782" s="1"/>
    </row>
    <row r="783" customFormat="false" ht="15.75" hidden="false" customHeight="true" outlineLevel="0" collapsed="false">
      <c r="P783" s="1"/>
    </row>
    <row r="784" customFormat="false" ht="15.75" hidden="false" customHeight="true" outlineLevel="0" collapsed="false">
      <c r="P784" s="1"/>
    </row>
    <row r="785" customFormat="false" ht="15.75" hidden="false" customHeight="true" outlineLevel="0" collapsed="false">
      <c r="P785" s="1"/>
    </row>
    <row r="786" customFormat="false" ht="15.75" hidden="false" customHeight="true" outlineLevel="0" collapsed="false">
      <c r="P786" s="1"/>
    </row>
    <row r="787" customFormat="false" ht="15.75" hidden="false" customHeight="true" outlineLevel="0" collapsed="false">
      <c r="P787" s="1"/>
    </row>
    <row r="788" customFormat="false" ht="15.75" hidden="false" customHeight="true" outlineLevel="0" collapsed="false">
      <c r="P788" s="1"/>
    </row>
    <row r="789" customFormat="false" ht="15.75" hidden="false" customHeight="true" outlineLevel="0" collapsed="false">
      <c r="P789" s="1"/>
    </row>
    <row r="790" customFormat="false" ht="15.75" hidden="false" customHeight="true" outlineLevel="0" collapsed="false">
      <c r="P790" s="1"/>
    </row>
    <row r="791" customFormat="false" ht="15.75" hidden="false" customHeight="true" outlineLevel="0" collapsed="false">
      <c r="P791" s="1"/>
    </row>
    <row r="792" customFormat="false" ht="15.75" hidden="false" customHeight="true" outlineLevel="0" collapsed="false">
      <c r="P792" s="1"/>
    </row>
    <row r="793" customFormat="false" ht="15.75" hidden="false" customHeight="true" outlineLevel="0" collapsed="false">
      <c r="P793" s="1"/>
    </row>
    <row r="794" customFormat="false" ht="15.75" hidden="false" customHeight="true" outlineLevel="0" collapsed="false">
      <c r="P794" s="1"/>
    </row>
    <row r="795" customFormat="false" ht="15.75" hidden="false" customHeight="true" outlineLevel="0" collapsed="false">
      <c r="P795" s="1"/>
    </row>
    <row r="796" customFormat="false" ht="15.75" hidden="false" customHeight="true" outlineLevel="0" collapsed="false">
      <c r="P796" s="1"/>
    </row>
    <row r="797" customFormat="false" ht="15.75" hidden="false" customHeight="true" outlineLevel="0" collapsed="false">
      <c r="P797" s="1"/>
    </row>
    <row r="798" customFormat="false" ht="15.75" hidden="false" customHeight="true" outlineLevel="0" collapsed="false">
      <c r="P798" s="1"/>
    </row>
    <row r="799" customFormat="false" ht="15.75" hidden="false" customHeight="true" outlineLevel="0" collapsed="false">
      <c r="P799" s="1"/>
    </row>
    <row r="800" customFormat="false" ht="15.75" hidden="false" customHeight="true" outlineLevel="0" collapsed="false">
      <c r="P800" s="1"/>
    </row>
    <row r="801" customFormat="false" ht="15.75" hidden="false" customHeight="true" outlineLevel="0" collapsed="false">
      <c r="P801" s="1"/>
    </row>
    <row r="802" customFormat="false" ht="15.75" hidden="false" customHeight="true" outlineLevel="0" collapsed="false">
      <c r="P802" s="1"/>
    </row>
    <row r="803" customFormat="false" ht="15.75" hidden="false" customHeight="true" outlineLevel="0" collapsed="false">
      <c r="P803" s="1"/>
    </row>
    <row r="804" customFormat="false" ht="15.75" hidden="false" customHeight="true" outlineLevel="0" collapsed="false">
      <c r="P804" s="1"/>
    </row>
    <row r="805" customFormat="false" ht="15.75" hidden="false" customHeight="true" outlineLevel="0" collapsed="false">
      <c r="P805" s="1"/>
    </row>
    <row r="806" customFormat="false" ht="15.75" hidden="false" customHeight="true" outlineLevel="0" collapsed="false">
      <c r="P806" s="1"/>
    </row>
    <row r="807" customFormat="false" ht="15.75" hidden="false" customHeight="true" outlineLevel="0" collapsed="false">
      <c r="P807" s="1"/>
    </row>
    <row r="808" customFormat="false" ht="15.75" hidden="false" customHeight="true" outlineLevel="0" collapsed="false">
      <c r="P808" s="1"/>
    </row>
    <row r="809" customFormat="false" ht="15.75" hidden="false" customHeight="true" outlineLevel="0" collapsed="false">
      <c r="P809" s="1"/>
    </row>
    <row r="810" customFormat="false" ht="15.75" hidden="false" customHeight="true" outlineLevel="0" collapsed="false">
      <c r="P810" s="1"/>
    </row>
    <row r="811" customFormat="false" ht="15.75" hidden="false" customHeight="true" outlineLevel="0" collapsed="false">
      <c r="P811" s="1"/>
    </row>
    <row r="812" customFormat="false" ht="15.75" hidden="false" customHeight="true" outlineLevel="0" collapsed="false">
      <c r="P812" s="1"/>
    </row>
    <row r="813" customFormat="false" ht="15.75" hidden="false" customHeight="true" outlineLevel="0" collapsed="false">
      <c r="P813" s="1"/>
    </row>
    <row r="814" customFormat="false" ht="15.75" hidden="false" customHeight="true" outlineLevel="0" collapsed="false">
      <c r="P814" s="1"/>
    </row>
    <row r="815" customFormat="false" ht="15.75" hidden="false" customHeight="true" outlineLevel="0" collapsed="false">
      <c r="P815" s="1"/>
    </row>
    <row r="816" customFormat="false" ht="15.75" hidden="false" customHeight="true" outlineLevel="0" collapsed="false">
      <c r="P816" s="1"/>
    </row>
    <row r="817" customFormat="false" ht="15.75" hidden="false" customHeight="true" outlineLevel="0" collapsed="false">
      <c r="P817" s="1"/>
    </row>
    <row r="818" customFormat="false" ht="15.75" hidden="false" customHeight="true" outlineLevel="0" collapsed="false">
      <c r="P818" s="1"/>
    </row>
    <row r="819" customFormat="false" ht="15.75" hidden="false" customHeight="true" outlineLevel="0" collapsed="false">
      <c r="P819" s="1"/>
    </row>
    <row r="820" customFormat="false" ht="15.75" hidden="false" customHeight="true" outlineLevel="0" collapsed="false">
      <c r="P820" s="1"/>
    </row>
    <row r="821" customFormat="false" ht="15.75" hidden="false" customHeight="true" outlineLevel="0" collapsed="false">
      <c r="P821" s="1"/>
    </row>
    <row r="822" customFormat="false" ht="15.75" hidden="false" customHeight="true" outlineLevel="0" collapsed="false">
      <c r="P822" s="1"/>
    </row>
    <row r="823" customFormat="false" ht="15.75" hidden="false" customHeight="true" outlineLevel="0" collapsed="false">
      <c r="P823" s="1"/>
    </row>
    <row r="824" customFormat="false" ht="15.75" hidden="false" customHeight="true" outlineLevel="0" collapsed="false">
      <c r="P824" s="1"/>
    </row>
    <row r="825" customFormat="false" ht="15.75" hidden="false" customHeight="true" outlineLevel="0" collapsed="false">
      <c r="P825" s="1"/>
    </row>
    <row r="826" customFormat="false" ht="15.75" hidden="false" customHeight="true" outlineLevel="0" collapsed="false">
      <c r="P826" s="1"/>
    </row>
    <row r="827" customFormat="false" ht="15.75" hidden="false" customHeight="true" outlineLevel="0" collapsed="false">
      <c r="P827" s="1"/>
    </row>
    <row r="828" customFormat="false" ht="15.75" hidden="false" customHeight="true" outlineLevel="0" collapsed="false">
      <c r="P828" s="1"/>
    </row>
    <row r="829" customFormat="false" ht="15.75" hidden="false" customHeight="true" outlineLevel="0" collapsed="false">
      <c r="P829" s="1"/>
    </row>
    <row r="830" customFormat="false" ht="15.75" hidden="false" customHeight="true" outlineLevel="0" collapsed="false">
      <c r="P830" s="1"/>
    </row>
    <row r="831" customFormat="false" ht="15.75" hidden="false" customHeight="true" outlineLevel="0" collapsed="false">
      <c r="P831" s="1"/>
    </row>
    <row r="832" customFormat="false" ht="15.75" hidden="false" customHeight="true" outlineLevel="0" collapsed="false">
      <c r="P832" s="1"/>
    </row>
    <row r="833" customFormat="false" ht="15.75" hidden="false" customHeight="true" outlineLevel="0" collapsed="false">
      <c r="P833" s="1"/>
    </row>
    <row r="834" customFormat="false" ht="15.75" hidden="false" customHeight="true" outlineLevel="0" collapsed="false">
      <c r="P834" s="1"/>
    </row>
    <row r="835" customFormat="false" ht="15.75" hidden="false" customHeight="true" outlineLevel="0" collapsed="false">
      <c r="P835" s="1"/>
    </row>
    <row r="836" customFormat="false" ht="15.75" hidden="false" customHeight="true" outlineLevel="0" collapsed="false">
      <c r="P836" s="1"/>
    </row>
    <row r="837" customFormat="false" ht="15.75" hidden="false" customHeight="true" outlineLevel="0" collapsed="false">
      <c r="P837" s="1"/>
    </row>
    <row r="838" customFormat="false" ht="15.75" hidden="false" customHeight="true" outlineLevel="0" collapsed="false">
      <c r="P838" s="1"/>
    </row>
    <row r="839" customFormat="false" ht="15.75" hidden="false" customHeight="true" outlineLevel="0" collapsed="false">
      <c r="P839" s="1"/>
    </row>
    <row r="840" customFormat="false" ht="15.75" hidden="false" customHeight="true" outlineLevel="0" collapsed="false">
      <c r="P840" s="1"/>
    </row>
    <row r="841" customFormat="false" ht="15.75" hidden="false" customHeight="true" outlineLevel="0" collapsed="false">
      <c r="P841" s="1"/>
    </row>
    <row r="842" customFormat="false" ht="15.75" hidden="false" customHeight="true" outlineLevel="0" collapsed="false">
      <c r="P842" s="1"/>
    </row>
    <row r="843" customFormat="false" ht="15.75" hidden="false" customHeight="true" outlineLevel="0" collapsed="false">
      <c r="P843" s="1"/>
    </row>
    <row r="844" customFormat="false" ht="15.75" hidden="false" customHeight="true" outlineLevel="0" collapsed="false">
      <c r="P844" s="1"/>
    </row>
    <row r="845" customFormat="false" ht="15.75" hidden="false" customHeight="true" outlineLevel="0" collapsed="false">
      <c r="P845" s="1"/>
    </row>
    <row r="846" customFormat="false" ht="15.75" hidden="false" customHeight="true" outlineLevel="0" collapsed="false">
      <c r="P846" s="1"/>
    </row>
    <row r="847" customFormat="false" ht="15.75" hidden="false" customHeight="true" outlineLevel="0" collapsed="false">
      <c r="P847" s="1"/>
    </row>
    <row r="848" customFormat="false" ht="15.75" hidden="false" customHeight="true" outlineLevel="0" collapsed="false">
      <c r="P848" s="1"/>
    </row>
    <row r="849" customFormat="false" ht="15.75" hidden="false" customHeight="true" outlineLevel="0" collapsed="false">
      <c r="P849" s="1"/>
    </row>
    <row r="850" customFormat="false" ht="15.75" hidden="false" customHeight="true" outlineLevel="0" collapsed="false">
      <c r="P850" s="1"/>
    </row>
    <row r="851" customFormat="false" ht="15.75" hidden="false" customHeight="true" outlineLevel="0" collapsed="false">
      <c r="P851" s="1"/>
    </row>
    <row r="852" customFormat="false" ht="15.75" hidden="false" customHeight="true" outlineLevel="0" collapsed="false">
      <c r="P852" s="1"/>
    </row>
    <row r="853" customFormat="false" ht="15.75" hidden="false" customHeight="true" outlineLevel="0" collapsed="false">
      <c r="P853" s="1"/>
    </row>
    <row r="854" customFormat="false" ht="15.75" hidden="false" customHeight="true" outlineLevel="0" collapsed="false">
      <c r="P854" s="1"/>
    </row>
    <row r="855" customFormat="false" ht="15.75" hidden="false" customHeight="true" outlineLevel="0" collapsed="false">
      <c r="P855" s="1"/>
    </row>
    <row r="856" customFormat="false" ht="15.75" hidden="false" customHeight="true" outlineLevel="0" collapsed="false">
      <c r="P856" s="1"/>
    </row>
    <row r="857" customFormat="false" ht="15.75" hidden="false" customHeight="true" outlineLevel="0" collapsed="false">
      <c r="P857" s="1"/>
    </row>
    <row r="858" customFormat="false" ht="15.75" hidden="false" customHeight="true" outlineLevel="0" collapsed="false">
      <c r="P858" s="1"/>
    </row>
    <row r="859" customFormat="false" ht="15.75" hidden="false" customHeight="true" outlineLevel="0" collapsed="false">
      <c r="P859" s="1"/>
    </row>
    <row r="860" customFormat="false" ht="15.75" hidden="false" customHeight="true" outlineLevel="0" collapsed="false">
      <c r="P860" s="1"/>
    </row>
    <row r="861" customFormat="false" ht="15.75" hidden="false" customHeight="true" outlineLevel="0" collapsed="false">
      <c r="P861" s="1"/>
    </row>
    <row r="862" customFormat="false" ht="15.75" hidden="false" customHeight="true" outlineLevel="0" collapsed="false">
      <c r="P862" s="1"/>
    </row>
    <row r="863" customFormat="false" ht="15.75" hidden="false" customHeight="true" outlineLevel="0" collapsed="false">
      <c r="P863" s="1"/>
    </row>
    <row r="864" customFormat="false" ht="15.75" hidden="false" customHeight="true" outlineLevel="0" collapsed="false">
      <c r="P864" s="1"/>
    </row>
    <row r="865" customFormat="false" ht="15.75" hidden="false" customHeight="true" outlineLevel="0" collapsed="false">
      <c r="P865" s="1"/>
    </row>
    <row r="866" customFormat="false" ht="15.75" hidden="false" customHeight="true" outlineLevel="0" collapsed="false">
      <c r="P866" s="1"/>
    </row>
    <row r="867" customFormat="false" ht="15.75" hidden="false" customHeight="true" outlineLevel="0" collapsed="false">
      <c r="P867" s="1"/>
    </row>
    <row r="868" customFormat="false" ht="15.75" hidden="false" customHeight="true" outlineLevel="0" collapsed="false">
      <c r="P868" s="1"/>
    </row>
    <row r="869" customFormat="false" ht="15.75" hidden="false" customHeight="true" outlineLevel="0" collapsed="false">
      <c r="P869" s="1"/>
    </row>
    <row r="870" customFormat="false" ht="15.75" hidden="false" customHeight="true" outlineLevel="0" collapsed="false">
      <c r="P870" s="1"/>
    </row>
    <row r="871" customFormat="false" ht="15.75" hidden="false" customHeight="true" outlineLevel="0" collapsed="false">
      <c r="P871" s="1"/>
    </row>
    <row r="872" customFormat="false" ht="15.75" hidden="false" customHeight="true" outlineLevel="0" collapsed="false">
      <c r="P872" s="1"/>
    </row>
    <row r="873" customFormat="false" ht="15.75" hidden="false" customHeight="true" outlineLevel="0" collapsed="false">
      <c r="P873" s="1"/>
    </row>
    <row r="874" customFormat="false" ht="15.75" hidden="false" customHeight="true" outlineLevel="0" collapsed="false">
      <c r="P874" s="1"/>
    </row>
    <row r="875" customFormat="false" ht="15.75" hidden="false" customHeight="true" outlineLevel="0" collapsed="false">
      <c r="P875" s="1"/>
    </row>
    <row r="876" customFormat="false" ht="15.75" hidden="false" customHeight="true" outlineLevel="0" collapsed="false">
      <c r="P876" s="1"/>
    </row>
    <row r="877" customFormat="false" ht="15.75" hidden="false" customHeight="true" outlineLevel="0" collapsed="false">
      <c r="P877" s="1"/>
    </row>
    <row r="878" customFormat="false" ht="15.75" hidden="false" customHeight="true" outlineLevel="0" collapsed="false">
      <c r="P878" s="1"/>
    </row>
    <row r="879" customFormat="false" ht="15.75" hidden="false" customHeight="true" outlineLevel="0" collapsed="false">
      <c r="P879" s="1"/>
    </row>
    <row r="880" customFormat="false" ht="15.75" hidden="false" customHeight="true" outlineLevel="0" collapsed="false">
      <c r="P880" s="1"/>
    </row>
    <row r="881" customFormat="false" ht="15.75" hidden="false" customHeight="true" outlineLevel="0" collapsed="false">
      <c r="P881" s="1"/>
    </row>
    <row r="882" customFormat="false" ht="15.75" hidden="false" customHeight="true" outlineLevel="0" collapsed="false">
      <c r="P882" s="1"/>
    </row>
    <row r="883" customFormat="false" ht="15.75" hidden="false" customHeight="true" outlineLevel="0" collapsed="false">
      <c r="P883" s="1"/>
    </row>
    <row r="884" customFormat="false" ht="15.75" hidden="false" customHeight="true" outlineLevel="0" collapsed="false">
      <c r="P884" s="1"/>
    </row>
    <row r="885" customFormat="false" ht="15.75" hidden="false" customHeight="true" outlineLevel="0" collapsed="false">
      <c r="P885" s="1"/>
    </row>
    <row r="886" customFormat="false" ht="15.75" hidden="false" customHeight="true" outlineLevel="0" collapsed="false">
      <c r="P886" s="1"/>
    </row>
    <row r="887" customFormat="false" ht="15.75" hidden="false" customHeight="true" outlineLevel="0" collapsed="false">
      <c r="P887" s="1"/>
    </row>
    <row r="888" customFormat="false" ht="15.75" hidden="false" customHeight="true" outlineLevel="0" collapsed="false">
      <c r="P888" s="1"/>
    </row>
    <row r="889" customFormat="false" ht="15.75" hidden="false" customHeight="true" outlineLevel="0" collapsed="false">
      <c r="P889" s="1"/>
    </row>
    <row r="890" customFormat="false" ht="15.75" hidden="false" customHeight="true" outlineLevel="0" collapsed="false">
      <c r="P890" s="1"/>
    </row>
    <row r="891" customFormat="false" ht="15.75" hidden="false" customHeight="true" outlineLevel="0" collapsed="false">
      <c r="P891" s="1"/>
    </row>
    <row r="892" customFormat="false" ht="15.75" hidden="false" customHeight="true" outlineLevel="0" collapsed="false">
      <c r="P892" s="1"/>
    </row>
    <row r="893" customFormat="false" ht="15.75" hidden="false" customHeight="true" outlineLevel="0" collapsed="false">
      <c r="P893" s="1"/>
    </row>
    <row r="894" customFormat="false" ht="15.75" hidden="false" customHeight="true" outlineLevel="0" collapsed="false">
      <c r="P894" s="1"/>
    </row>
    <row r="895" customFormat="false" ht="15.75" hidden="false" customHeight="true" outlineLevel="0" collapsed="false">
      <c r="P895" s="1"/>
    </row>
    <row r="896" customFormat="false" ht="15.75" hidden="false" customHeight="true" outlineLevel="0" collapsed="false">
      <c r="P896" s="1"/>
    </row>
    <row r="897" customFormat="false" ht="15.75" hidden="false" customHeight="true" outlineLevel="0" collapsed="false">
      <c r="P897" s="1"/>
    </row>
    <row r="898" customFormat="false" ht="15.75" hidden="false" customHeight="true" outlineLevel="0" collapsed="false">
      <c r="P898" s="1"/>
    </row>
    <row r="899" customFormat="false" ht="15.75" hidden="false" customHeight="true" outlineLevel="0" collapsed="false">
      <c r="P899" s="1"/>
    </row>
    <row r="900" customFormat="false" ht="15.75" hidden="false" customHeight="true" outlineLevel="0" collapsed="false">
      <c r="P900" s="1"/>
    </row>
    <row r="901" customFormat="false" ht="15.75" hidden="false" customHeight="true" outlineLevel="0" collapsed="false">
      <c r="P901" s="1"/>
    </row>
    <row r="902" customFormat="false" ht="15.75" hidden="false" customHeight="true" outlineLevel="0" collapsed="false">
      <c r="P902" s="1"/>
    </row>
    <row r="903" customFormat="false" ht="15.75" hidden="false" customHeight="true" outlineLevel="0" collapsed="false">
      <c r="P903" s="1"/>
    </row>
    <row r="904" customFormat="false" ht="15.75" hidden="false" customHeight="true" outlineLevel="0" collapsed="false">
      <c r="P904" s="1"/>
    </row>
    <row r="905" customFormat="false" ht="15.75" hidden="false" customHeight="true" outlineLevel="0" collapsed="false">
      <c r="P905" s="1"/>
    </row>
    <row r="906" customFormat="false" ht="15.75" hidden="false" customHeight="true" outlineLevel="0" collapsed="false">
      <c r="P906" s="1"/>
    </row>
    <row r="907" customFormat="false" ht="15.75" hidden="false" customHeight="true" outlineLevel="0" collapsed="false">
      <c r="P907" s="1"/>
    </row>
    <row r="908" customFormat="false" ht="15.75" hidden="false" customHeight="true" outlineLevel="0" collapsed="false">
      <c r="P908" s="1"/>
    </row>
    <row r="909" customFormat="false" ht="15.75" hidden="false" customHeight="true" outlineLevel="0" collapsed="false">
      <c r="P909" s="1"/>
    </row>
    <row r="910" customFormat="false" ht="15.75" hidden="false" customHeight="true" outlineLevel="0" collapsed="false">
      <c r="P910" s="1"/>
    </row>
    <row r="911" customFormat="false" ht="15.75" hidden="false" customHeight="true" outlineLevel="0" collapsed="false">
      <c r="P911" s="1"/>
    </row>
    <row r="912" customFormat="false" ht="15.75" hidden="false" customHeight="true" outlineLevel="0" collapsed="false">
      <c r="P912" s="1"/>
    </row>
    <row r="913" customFormat="false" ht="15.75" hidden="false" customHeight="true" outlineLevel="0" collapsed="false">
      <c r="P913" s="1"/>
    </row>
    <row r="914" customFormat="false" ht="15.75" hidden="false" customHeight="true" outlineLevel="0" collapsed="false">
      <c r="P914" s="1"/>
    </row>
    <row r="915" customFormat="false" ht="15.75" hidden="false" customHeight="true" outlineLevel="0" collapsed="false">
      <c r="P915" s="1"/>
    </row>
    <row r="916" customFormat="false" ht="15.75" hidden="false" customHeight="true" outlineLevel="0" collapsed="false">
      <c r="P916" s="1"/>
    </row>
    <row r="917" customFormat="false" ht="15.75" hidden="false" customHeight="true" outlineLevel="0" collapsed="false">
      <c r="P917" s="1"/>
    </row>
    <row r="918" customFormat="false" ht="15.75" hidden="false" customHeight="true" outlineLevel="0" collapsed="false">
      <c r="P918" s="1"/>
    </row>
    <row r="919" customFormat="false" ht="15.75" hidden="false" customHeight="true" outlineLevel="0" collapsed="false">
      <c r="P919" s="1"/>
    </row>
    <row r="920" customFormat="false" ht="15.75" hidden="false" customHeight="true" outlineLevel="0" collapsed="false">
      <c r="P920" s="1"/>
    </row>
    <row r="921" customFormat="false" ht="15.75" hidden="false" customHeight="true" outlineLevel="0" collapsed="false">
      <c r="P921" s="1"/>
    </row>
    <row r="922" customFormat="false" ht="15.75" hidden="false" customHeight="true" outlineLevel="0" collapsed="false">
      <c r="P922" s="1"/>
    </row>
    <row r="923" customFormat="false" ht="15.75" hidden="false" customHeight="true" outlineLevel="0" collapsed="false">
      <c r="P923" s="1"/>
    </row>
    <row r="924" customFormat="false" ht="15.75" hidden="false" customHeight="true" outlineLevel="0" collapsed="false">
      <c r="P924" s="1"/>
    </row>
    <row r="925" customFormat="false" ht="15.75" hidden="false" customHeight="true" outlineLevel="0" collapsed="false">
      <c r="P925" s="1"/>
    </row>
    <row r="926" customFormat="false" ht="15.75" hidden="false" customHeight="true" outlineLevel="0" collapsed="false">
      <c r="P926" s="1"/>
    </row>
    <row r="927" customFormat="false" ht="15.75" hidden="false" customHeight="true" outlineLevel="0" collapsed="false">
      <c r="P927" s="1"/>
    </row>
    <row r="928" customFormat="false" ht="15.75" hidden="false" customHeight="true" outlineLevel="0" collapsed="false">
      <c r="P928" s="1"/>
    </row>
    <row r="929" customFormat="false" ht="15.75" hidden="false" customHeight="true" outlineLevel="0" collapsed="false">
      <c r="P929" s="1"/>
    </row>
    <row r="930" customFormat="false" ht="15.75" hidden="false" customHeight="true" outlineLevel="0" collapsed="false">
      <c r="P930" s="1"/>
    </row>
    <row r="931" customFormat="false" ht="15.75" hidden="false" customHeight="true" outlineLevel="0" collapsed="false">
      <c r="P931" s="1"/>
    </row>
    <row r="932" customFormat="false" ht="15.75" hidden="false" customHeight="true" outlineLevel="0" collapsed="false">
      <c r="P932" s="1"/>
    </row>
    <row r="933" customFormat="false" ht="15.75" hidden="false" customHeight="true" outlineLevel="0" collapsed="false">
      <c r="P933" s="1"/>
    </row>
    <row r="934" customFormat="false" ht="15.75" hidden="false" customHeight="true" outlineLevel="0" collapsed="false">
      <c r="P934" s="1"/>
    </row>
    <row r="935" customFormat="false" ht="15.75" hidden="false" customHeight="true" outlineLevel="0" collapsed="false">
      <c r="P935" s="1"/>
    </row>
    <row r="936" customFormat="false" ht="15.75" hidden="false" customHeight="true" outlineLevel="0" collapsed="false">
      <c r="P936" s="1"/>
    </row>
    <row r="937" customFormat="false" ht="15.75" hidden="false" customHeight="true" outlineLevel="0" collapsed="false">
      <c r="P937" s="1"/>
    </row>
    <row r="938" customFormat="false" ht="15.75" hidden="false" customHeight="true" outlineLevel="0" collapsed="false">
      <c r="P938" s="1"/>
    </row>
    <row r="939" customFormat="false" ht="15.75" hidden="false" customHeight="true" outlineLevel="0" collapsed="false">
      <c r="P939" s="1"/>
    </row>
    <row r="940" customFormat="false" ht="15.75" hidden="false" customHeight="true" outlineLevel="0" collapsed="false">
      <c r="P940" s="1"/>
    </row>
    <row r="941" customFormat="false" ht="15.75" hidden="false" customHeight="true" outlineLevel="0" collapsed="false">
      <c r="P941" s="1"/>
    </row>
    <row r="942" customFormat="false" ht="15.75" hidden="false" customHeight="true" outlineLevel="0" collapsed="false">
      <c r="P942" s="1"/>
    </row>
    <row r="943" customFormat="false" ht="15.75" hidden="false" customHeight="true" outlineLevel="0" collapsed="false">
      <c r="P943" s="1"/>
    </row>
    <row r="944" customFormat="false" ht="15.75" hidden="false" customHeight="true" outlineLevel="0" collapsed="false">
      <c r="P944" s="1"/>
    </row>
    <row r="945" customFormat="false" ht="15.75" hidden="false" customHeight="true" outlineLevel="0" collapsed="false">
      <c r="P945" s="1"/>
    </row>
    <row r="946" customFormat="false" ht="15.75" hidden="false" customHeight="true" outlineLevel="0" collapsed="false">
      <c r="P946" s="1"/>
    </row>
    <row r="947" customFormat="false" ht="15.75" hidden="false" customHeight="true" outlineLevel="0" collapsed="false">
      <c r="P947" s="1"/>
    </row>
    <row r="948" customFormat="false" ht="15.75" hidden="false" customHeight="true" outlineLevel="0" collapsed="false">
      <c r="P948" s="1"/>
    </row>
    <row r="949" customFormat="false" ht="15.75" hidden="false" customHeight="true" outlineLevel="0" collapsed="false">
      <c r="P949" s="1"/>
    </row>
    <row r="950" customFormat="false" ht="15.75" hidden="false" customHeight="true" outlineLevel="0" collapsed="false">
      <c r="P950" s="1"/>
    </row>
    <row r="951" customFormat="false" ht="15.75" hidden="false" customHeight="true" outlineLevel="0" collapsed="false">
      <c r="P951" s="1"/>
    </row>
    <row r="952" customFormat="false" ht="15.75" hidden="false" customHeight="true" outlineLevel="0" collapsed="false">
      <c r="P952" s="1"/>
    </row>
    <row r="953" customFormat="false" ht="15.75" hidden="false" customHeight="true" outlineLevel="0" collapsed="false">
      <c r="P953" s="1"/>
    </row>
    <row r="954" customFormat="false" ht="15.75" hidden="false" customHeight="true" outlineLevel="0" collapsed="false">
      <c r="P954" s="1"/>
    </row>
    <row r="955" customFormat="false" ht="15.75" hidden="false" customHeight="true" outlineLevel="0" collapsed="false">
      <c r="P955" s="1"/>
    </row>
    <row r="956" customFormat="false" ht="15.75" hidden="false" customHeight="true" outlineLevel="0" collapsed="false">
      <c r="P956" s="1"/>
    </row>
    <row r="957" customFormat="false" ht="15.75" hidden="false" customHeight="true" outlineLevel="0" collapsed="false">
      <c r="P957" s="1"/>
    </row>
    <row r="958" customFormat="false" ht="15.75" hidden="false" customHeight="true" outlineLevel="0" collapsed="false">
      <c r="P958" s="1"/>
    </row>
    <row r="959" customFormat="false" ht="15.75" hidden="false" customHeight="true" outlineLevel="0" collapsed="false">
      <c r="P959" s="1"/>
    </row>
    <row r="960" customFormat="false" ht="15.75" hidden="false" customHeight="true" outlineLevel="0" collapsed="false">
      <c r="P960" s="1"/>
    </row>
    <row r="961" customFormat="false" ht="15.75" hidden="false" customHeight="true" outlineLevel="0" collapsed="false">
      <c r="P961" s="1"/>
    </row>
    <row r="962" customFormat="false" ht="15.75" hidden="false" customHeight="true" outlineLevel="0" collapsed="false">
      <c r="P962" s="1"/>
    </row>
    <row r="963" customFormat="false" ht="15.75" hidden="false" customHeight="true" outlineLevel="0" collapsed="false">
      <c r="P963" s="1"/>
    </row>
    <row r="964" customFormat="false" ht="15.75" hidden="false" customHeight="true" outlineLevel="0" collapsed="false">
      <c r="P964" s="1"/>
    </row>
    <row r="965" customFormat="false" ht="15.75" hidden="false" customHeight="true" outlineLevel="0" collapsed="false">
      <c r="P965" s="1"/>
    </row>
    <row r="966" customFormat="false" ht="15.75" hidden="false" customHeight="true" outlineLevel="0" collapsed="false">
      <c r="P966" s="1"/>
    </row>
    <row r="967" customFormat="false" ht="15.75" hidden="false" customHeight="true" outlineLevel="0" collapsed="false">
      <c r="P967" s="1"/>
    </row>
    <row r="968" customFormat="false" ht="15.75" hidden="false" customHeight="true" outlineLevel="0" collapsed="false">
      <c r="P968" s="1"/>
    </row>
    <row r="969" customFormat="false" ht="15.75" hidden="false" customHeight="true" outlineLevel="0" collapsed="false">
      <c r="P969" s="1"/>
    </row>
    <row r="970" customFormat="false" ht="15.75" hidden="false" customHeight="true" outlineLevel="0" collapsed="false">
      <c r="P970" s="1"/>
    </row>
    <row r="971" customFormat="false" ht="15.75" hidden="false" customHeight="true" outlineLevel="0" collapsed="false">
      <c r="P971" s="1"/>
    </row>
    <row r="972" customFormat="false" ht="15.75" hidden="false" customHeight="true" outlineLevel="0" collapsed="false">
      <c r="P972" s="1"/>
    </row>
    <row r="973" customFormat="false" ht="15.75" hidden="false" customHeight="true" outlineLevel="0" collapsed="false">
      <c r="P973" s="1"/>
    </row>
    <row r="974" customFormat="false" ht="15.75" hidden="false" customHeight="true" outlineLevel="0" collapsed="false">
      <c r="P974" s="1"/>
    </row>
    <row r="975" customFormat="false" ht="15.75" hidden="false" customHeight="true" outlineLevel="0" collapsed="false">
      <c r="P975" s="1"/>
    </row>
    <row r="976" customFormat="false" ht="15.75" hidden="false" customHeight="true" outlineLevel="0" collapsed="false">
      <c r="P976" s="1"/>
    </row>
    <row r="977" customFormat="false" ht="15.75" hidden="false" customHeight="true" outlineLevel="0" collapsed="false">
      <c r="P977" s="1"/>
    </row>
    <row r="978" customFormat="false" ht="15.75" hidden="false" customHeight="true" outlineLevel="0" collapsed="false">
      <c r="P978" s="1"/>
    </row>
    <row r="979" customFormat="false" ht="15.75" hidden="false" customHeight="true" outlineLevel="0" collapsed="false">
      <c r="P979" s="1"/>
    </row>
    <row r="980" customFormat="false" ht="15.75" hidden="false" customHeight="true" outlineLevel="0" collapsed="false">
      <c r="P980" s="1"/>
    </row>
    <row r="981" customFormat="false" ht="15.75" hidden="false" customHeight="true" outlineLevel="0" collapsed="false">
      <c r="P981" s="1"/>
    </row>
    <row r="982" customFormat="false" ht="15.75" hidden="false" customHeight="true" outlineLevel="0" collapsed="false">
      <c r="P982" s="1"/>
    </row>
    <row r="983" customFormat="false" ht="15.75" hidden="false" customHeight="true" outlineLevel="0" collapsed="false">
      <c r="P983" s="1"/>
    </row>
    <row r="984" customFormat="false" ht="15.75" hidden="false" customHeight="true" outlineLevel="0" collapsed="false">
      <c r="P984" s="1"/>
    </row>
    <row r="985" customFormat="false" ht="15.75" hidden="false" customHeight="true" outlineLevel="0" collapsed="false">
      <c r="P985" s="1"/>
    </row>
    <row r="986" customFormat="false" ht="15.75" hidden="false" customHeight="true" outlineLevel="0" collapsed="false">
      <c r="P986" s="1"/>
    </row>
    <row r="987" customFormat="false" ht="15.75" hidden="false" customHeight="true" outlineLevel="0" collapsed="false">
      <c r="P987" s="1"/>
    </row>
    <row r="988" customFormat="false" ht="15.75" hidden="false" customHeight="true" outlineLevel="0" collapsed="false">
      <c r="P988" s="1"/>
    </row>
    <row r="989" customFormat="false" ht="15.75" hidden="false" customHeight="true" outlineLevel="0" collapsed="false">
      <c r="P989" s="1"/>
    </row>
    <row r="990" customFormat="false" ht="15.75" hidden="false" customHeight="true" outlineLevel="0" collapsed="false">
      <c r="P990" s="1"/>
    </row>
    <row r="991" customFormat="false" ht="15.75" hidden="false" customHeight="true" outlineLevel="0" collapsed="false">
      <c r="P991" s="1"/>
    </row>
    <row r="992" customFormat="false" ht="15.75" hidden="false" customHeight="true" outlineLevel="0" collapsed="false">
      <c r="P992" s="1"/>
    </row>
    <row r="993" customFormat="false" ht="15.75" hidden="false" customHeight="true" outlineLevel="0" collapsed="false">
      <c r="P993" s="1"/>
    </row>
    <row r="994" customFormat="false" ht="15.75" hidden="false" customHeight="true" outlineLevel="0" collapsed="false">
      <c r="P994" s="1"/>
    </row>
    <row r="995" customFormat="false" ht="15.75" hidden="false" customHeight="true" outlineLevel="0" collapsed="false">
      <c r="P995" s="1"/>
    </row>
    <row r="996" customFormat="false" ht="15.75" hidden="false" customHeight="true" outlineLevel="0" collapsed="false">
      <c r="P996" s="1"/>
    </row>
    <row r="997" customFormat="false" ht="15.75" hidden="false" customHeight="true" outlineLevel="0" collapsed="false">
      <c r="P997" s="1"/>
    </row>
    <row r="998" customFormat="false" ht="15.75" hidden="false" customHeight="true" outlineLevel="0" collapsed="false">
      <c r="P998" s="1"/>
    </row>
    <row r="999" customFormat="false" ht="15.75" hidden="false" customHeight="true" outlineLevel="0" collapsed="false">
      <c r="P999" s="1"/>
    </row>
    <row r="1000" customFormat="false" ht="15.75" hidden="false" customHeight="true" outlineLevel="0" collapsed="false">
      <c r="P1000" s="1"/>
    </row>
    <row r="1001" customFormat="false" ht="15.75" hidden="false" customHeight="true" outlineLevel="0" collapsed="false">
      <c r="P1001" s="1"/>
    </row>
    <row r="1002" customFormat="false" ht="15.75" hidden="false" customHeight="true" outlineLevel="0" collapsed="false">
      <c r="P1002" s="1"/>
    </row>
    <row r="1003" customFormat="false" ht="15.75" hidden="false" customHeight="true" outlineLevel="0" collapsed="false">
      <c r="P1003" s="1"/>
    </row>
    <row r="1004" customFormat="false" ht="15.75" hidden="false" customHeight="true" outlineLevel="0" collapsed="false">
      <c r="P1004" s="1"/>
    </row>
  </sheetData>
  <mergeCells count="2">
    <mergeCell ref="A2:K2"/>
    <mergeCell ref="A191:P191"/>
  </mergeCells>
  <dataValidations count="1">
    <dataValidation allowBlank="true" errorStyle="stop" operator="between" prompt="入力ヒント - effectId（薬効）を選択" showDropDown="false" showErrorMessage="true" showInputMessage="true" sqref="D4:D65 D67:D205" type="list">
      <formula1>"healing,detox,tonic,stimulation,sedation,stable,speed,levitation,mystic,insulation,poison,none"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45312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20"/>
    <col collapsed="false" customWidth="true" hidden="false" outlineLevel="0" max="4" min="4" style="1" width="14"/>
    <col collapsed="false" customWidth="true" hidden="false" outlineLevel="0" max="7" min="5" style="1" width="12"/>
    <col collapsed="false" customWidth="true" hidden="false" outlineLevel="0" max="8" min="8" style="1" width="24"/>
  </cols>
  <sheetData>
    <row r="1" customFormat="false" ht="21.75" hidden="false" customHeight="true" outlineLevel="0" collapsed="false">
      <c r="A1" s="90" t="s">
        <v>1001</v>
      </c>
      <c r="I1" s="1"/>
      <c r="J1" s="1"/>
      <c r="K1" s="1"/>
      <c r="L1" s="1"/>
      <c r="M1" s="1"/>
      <c r="N1" s="1"/>
      <c r="O1" s="1"/>
      <c r="P1" s="1"/>
      <c r="Q1" s="1"/>
      <c r="R1" s="1"/>
      <c r="S1" s="1"/>
      <c r="T1" s="1"/>
      <c r="U1" s="1"/>
      <c r="V1" s="1"/>
      <c r="W1" s="1"/>
      <c r="X1" s="1"/>
      <c r="Y1" s="1"/>
      <c r="Z1" s="1"/>
    </row>
    <row r="2" customFormat="false" ht="48" hidden="false" customHeight="true" outlineLevel="0" collapsed="false">
      <c r="A2" s="92" t="s">
        <v>1002</v>
      </c>
      <c r="B2" s="92" t="s">
        <v>1003</v>
      </c>
      <c r="C2" s="93" t="s">
        <v>1004</v>
      </c>
      <c r="D2" s="94" t="s">
        <v>1005</v>
      </c>
      <c r="E2" s="92" t="s">
        <v>1006</v>
      </c>
      <c r="F2" s="92" t="s">
        <v>1007</v>
      </c>
      <c r="G2" s="92" t="s">
        <v>1008</v>
      </c>
      <c r="H2" s="96" t="s">
        <v>1009</v>
      </c>
      <c r="I2" s="1"/>
      <c r="J2" s="1"/>
      <c r="K2" s="1"/>
      <c r="L2" s="1"/>
      <c r="M2" s="1"/>
      <c r="N2" s="1"/>
      <c r="O2" s="1"/>
      <c r="P2" s="1"/>
      <c r="Q2" s="1"/>
      <c r="R2" s="1"/>
      <c r="S2" s="1"/>
      <c r="T2" s="1"/>
      <c r="U2" s="1"/>
      <c r="V2" s="1"/>
      <c r="W2" s="1"/>
      <c r="X2" s="1"/>
      <c r="Y2" s="1"/>
      <c r="Z2" s="1"/>
    </row>
    <row r="3" customFormat="false" ht="15" hidden="false" customHeight="true" outlineLevel="0" collapsed="false">
      <c r="A3" s="13" t="s">
        <v>337</v>
      </c>
      <c r="B3" s="13" t="s">
        <v>188</v>
      </c>
      <c r="C3" s="98" t="s">
        <v>108</v>
      </c>
      <c r="D3" s="101" t="str">
        <f aca="false">IFERROR(INDEX(値リスト!$G$16:$G$21,MATCH(C3,値リスト!$H$16:$H$21,0)),"")</f>
        <v>night</v>
      </c>
      <c r="E3" s="13" t="n">
        <v>0.65</v>
      </c>
      <c r="F3" s="13" t="n">
        <v>1</v>
      </c>
      <c r="G3" s="13"/>
      <c r="H3" s="12" t="s">
        <v>1010</v>
      </c>
      <c r="I3" s="1"/>
      <c r="J3" s="1"/>
      <c r="K3" s="1"/>
      <c r="L3" s="1"/>
      <c r="M3" s="1"/>
      <c r="N3" s="1"/>
      <c r="O3" s="1"/>
      <c r="P3" s="1"/>
      <c r="Q3" s="1"/>
      <c r="R3" s="1"/>
      <c r="S3" s="1"/>
      <c r="T3" s="1"/>
      <c r="U3" s="1"/>
      <c r="V3" s="1"/>
      <c r="W3" s="1"/>
      <c r="X3" s="1"/>
      <c r="Y3" s="1"/>
      <c r="Z3" s="1"/>
    </row>
    <row r="4" customFormat="false" ht="15" hidden="false" customHeight="true" outlineLevel="0" collapsed="false">
      <c r="A4" s="13" t="s">
        <v>337</v>
      </c>
      <c r="B4" s="13" t="s">
        <v>192</v>
      </c>
      <c r="C4" s="98" t="s">
        <v>108</v>
      </c>
      <c r="D4" s="101" t="str">
        <f aca="false">IFERROR(INDEX(値リスト!$G$16:$G$21,MATCH(C4,値リスト!$H$16:$H$21,0)),"")</f>
        <v>night</v>
      </c>
      <c r="E4" s="13" t="n">
        <v>0.5</v>
      </c>
      <c r="F4" s="13" t="n">
        <v>1</v>
      </c>
      <c r="G4" s="13"/>
      <c r="H4" s="12"/>
      <c r="I4" s="1"/>
      <c r="J4" s="1"/>
      <c r="K4" s="1"/>
      <c r="L4" s="1"/>
      <c r="M4" s="1"/>
      <c r="N4" s="1"/>
      <c r="O4" s="1"/>
      <c r="P4" s="1"/>
      <c r="Q4" s="1"/>
      <c r="R4" s="1"/>
      <c r="S4" s="1"/>
      <c r="T4" s="1"/>
      <c r="U4" s="1"/>
      <c r="V4" s="1"/>
      <c r="W4" s="1"/>
      <c r="X4" s="1"/>
      <c r="Y4" s="1"/>
      <c r="Z4" s="1"/>
    </row>
    <row r="5" customFormat="false" ht="15" hidden="false" customHeight="true" outlineLevel="0" collapsed="false">
      <c r="A5" s="13" t="s">
        <v>337</v>
      </c>
      <c r="B5" s="13" t="s">
        <v>188</v>
      </c>
      <c r="C5" s="98" t="s">
        <v>84</v>
      </c>
      <c r="D5" s="101" t="str">
        <f aca="false">IFERROR(INDEX(値リスト!$G$16:$G$21,MATCH(C5,値リスト!$H$16:$H$21,0)),"")</f>
        <v>dawn</v>
      </c>
      <c r="E5" s="13" t="n">
        <v>0.35</v>
      </c>
      <c r="F5" s="13" t="n">
        <v>1</v>
      </c>
      <c r="G5" s="13"/>
      <c r="H5" s="12"/>
      <c r="I5" s="1"/>
      <c r="J5" s="1"/>
      <c r="K5" s="1"/>
      <c r="L5" s="1"/>
      <c r="M5" s="1"/>
      <c r="N5" s="1"/>
      <c r="O5" s="1"/>
      <c r="P5" s="1"/>
      <c r="Q5" s="1"/>
      <c r="R5" s="1"/>
      <c r="S5" s="1"/>
      <c r="T5" s="1"/>
      <c r="U5" s="1"/>
      <c r="V5" s="1"/>
      <c r="W5" s="1"/>
      <c r="X5" s="1"/>
      <c r="Y5" s="1"/>
      <c r="Z5" s="1"/>
    </row>
    <row r="6" customFormat="false" ht="15" hidden="false" customHeight="true" outlineLevel="0" collapsed="false">
      <c r="A6" s="13" t="s">
        <v>337</v>
      </c>
      <c r="B6" s="13" t="s">
        <v>275</v>
      </c>
      <c r="C6" s="98" t="s">
        <v>108</v>
      </c>
      <c r="D6" s="101" t="str">
        <f aca="false">IFERROR(INDEX(値リスト!$G$16:$G$21,MATCH(C6,値リスト!$H$16:$H$21,0)),"")</f>
        <v>night</v>
      </c>
      <c r="E6" s="13" t="n">
        <v>0.3</v>
      </c>
      <c r="F6" s="13" t="n">
        <v>1</v>
      </c>
      <c r="G6" s="13"/>
      <c r="H6" s="12"/>
      <c r="I6" s="1"/>
      <c r="J6" s="1"/>
      <c r="K6" s="1"/>
      <c r="L6" s="1"/>
      <c r="M6" s="1"/>
      <c r="N6" s="1"/>
      <c r="O6" s="1"/>
      <c r="P6" s="1"/>
      <c r="Q6" s="1"/>
      <c r="R6" s="1"/>
      <c r="S6" s="1"/>
      <c r="T6" s="1"/>
      <c r="U6" s="1"/>
      <c r="V6" s="1"/>
      <c r="W6" s="1"/>
      <c r="X6" s="1"/>
      <c r="Y6" s="1"/>
      <c r="Z6" s="1"/>
    </row>
    <row r="7" customFormat="false" ht="15" hidden="false" customHeight="true" outlineLevel="0" collapsed="false">
      <c r="A7" s="13" t="s">
        <v>343</v>
      </c>
      <c r="B7" s="13" t="s">
        <v>164</v>
      </c>
      <c r="C7" s="98" t="s">
        <v>90</v>
      </c>
      <c r="D7" s="101" t="str">
        <f aca="false">IFERROR(INDEX(値リスト!$G$16:$G$21,MATCH(C7,値リスト!$H$16:$H$21,0)),"")</f>
        <v>morning</v>
      </c>
      <c r="E7" s="13" t="n">
        <v>0.55</v>
      </c>
      <c r="F7" s="13" t="n">
        <v>1</v>
      </c>
      <c r="G7" s="13"/>
      <c r="H7" s="12"/>
      <c r="I7" s="1"/>
      <c r="J7" s="1"/>
      <c r="K7" s="1"/>
      <c r="L7" s="1"/>
      <c r="M7" s="1"/>
      <c r="N7" s="1"/>
      <c r="O7" s="1"/>
      <c r="P7" s="1"/>
      <c r="Q7" s="1"/>
      <c r="R7" s="1"/>
      <c r="S7" s="1"/>
      <c r="T7" s="1"/>
      <c r="U7" s="1"/>
      <c r="V7" s="1"/>
      <c r="W7" s="1"/>
      <c r="X7" s="1"/>
      <c r="Y7" s="1"/>
      <c r="Z7" s="1"/>
    </row>
    <row r="8" customFormat="false" ht="15" hidden="false" customHeight="true" outlineLevel="0" collapsed="false">
      <c r="A8" s="13" t="s">
        <v>343</v>
      </c>
      <c r="B8" s="13" t="s">
        <v>196</v>
      </c>
      <c r="C8" s="98" t="s">
        <v>90</v>
      </c>
      <c r="D8" s="101" t="str">
        <f aca="false">IFERROR(INDEX(値リスト!$G$16:$G$21,MATCH(C8,値リスト!$H$16:$H$21,0)),"")</f>
        <v>morning</v>
      </c>
      <c r="E8" s="13" t="n">
        <v>0.45</v>
      </c>
      <c r="F8" s="13" t="n">
        <v>1</v>
      </c>
      <c r="G8" s="13"/>
      <c r="H8" s="12"/>
      <c r="I8" s="1"/>
      <c r="J8" s="1"/>
      <c r="K8" s="1"/>
      <c r="L8" s="1"/>
      <c r="M8" s="1"/>
      <c r="N8" s="1"/>
      <c r="O8" s="1"/>
      <c r="P8" s="1"/>
      <c r="Q8" s="1"/>
      <c r="R8" s="1"/>
      <c r="S8" s="1"/>
      <c r="T8" s="1"/>
      <c r="U8" s="1"/>
      <c r="V8" s="1"/>
      <c r="W8" s="1"/>
      <c r="X8" s="1"/>
      <c r="Y8" s="1"/>
      <c r="Z8" s="1"/>
    </row>
    <row r="9" customFormat="false" ht="15" hidden="false" customHeight="true" outlineLevel="0" collapsed="false">
      <c r="A9" s="13" t="s">
        <v>343</v>
      </c>
      <c r="B9" s="13" t="s">
        <v>164</v>
      </c>
      <c r="C9" s="98" t="s">
        <v>96</v>
      </c>
      <c r="D9" s="101" t="str">
        <f aca="false">IFERROR(INDEX(値リスト!$G$16:$G$21,MATCH(C9,値リスト!$H$16:$H$21,0)),"")</f>
        <v>noon</v>
      </c>
      <c r="E9" s="13" t="n">
        <v>0.2</v>
      </c>
      <c r="F9" s="13" t="n">
        <v>1</v>
      </c>
      <c r="G9" s="14" t="s">
        <v>1011</v>
      </c>
      <c r="H9" s="12"/>
      <c r="I9" s="1"/>
      <c r="J9" s="1"/>
      <c r="K9" s="1"/>
      <c r="L9" s="1"/>
      <c r="M9" s="1"/>
      <c r="N9" s="1"/>
      <c r="O9" s="1"/>
      <c r="P9" s="1"/>
      <c r="Q9" s="1"/>
      <c r="R9" s="1"/>
      <c r="S9" s="1"/>
      <c r="T9" s="1"/>
      <c r="U9" s="1"/>
      <c r="V9" s="1"/>
      <c r="W9" s="1"/>
      <c r="X9" s="1"/>
      <c r="Y9" s="1"/>
      <c r="Z9" s="1"/>
    </row>
    <row r="10" customFormat="false" ht="15" hidden="false" customHeight="true" outlineLevel="0" collapsed="false">
      <c r="A10" s="13" t="s">
        <v>347</v>
      </c>
      <c r="B10" s="13" t="s">
        <v>188</v>
      </c>
      <c r="C10" s="98" t="s">
        <v>108</v>
      </c>
      <c r="D10" s="101" t="str">
        <f aca="false">IFERROR(INDEX(値リスト!$G$16:$G$21,MATCH(C10,値リスト!$H$16:$H$21,0)),"")</f>
        <v>night</v>
      </c>
      <c r="E10" s="13" t="n">
        <v>0.18</v>
      </c>
      <c r="F10" s="13" t="n">
        <v>1</v>
      </c>
      <c r="G10" s="13"/>
      <c r="H10" s="12" t="s">
        <v>1012</v>
      </c>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13" t="s">
        <v>347</v>
      </c>
      <c r="B11" s="13" t="s">
        <v>192</v>
      </c>
      <c r="C11" s="98" t="s">
        <v>114</v>
      </c>
      <c r="D11" s="101" t="str">
        <f aca="false">IFERROR(INDEX(値リスト!$G$16:$G$21,MATCH(C11,値リスト!$H$16:$H$21,0)),"")</f>
        <v>midnight</v>
      </c>
      <c r="E11" s="13" t="n">
        <v>0.12</v>
      </c>
      <c r="F11" s="13" t="n">
        <v>1</v>
      </c>
      <c r="G11" s="13"/>
      <c r="H11" s="12"/>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13" t="s">
        <v>351</v>
      </c>
      <c r="B12" s="13" t="s">
        <v>216</v>
      </c>
      <c r="C12" s="98" t="s">
        <v>108</v>
      </c>
      <c r="D12" s="101" t="str">
        <f aca="false">IFERROR(INDEX(値リスト!$G$16:$G$21,MATCH(C12,値リスト!$H$16:$H$21,0)),"")</f>
        <v>night</v>
      </c>
      <c r="E12" s="13" t="n">
        <v>0.45</v>
      </c>
      <c r="F12" s="13" t="n">
        <v>1</v>
      </c>
      <c r="G12" s="13"/>
      <c r="H12" s="12" t="s">
        <v>1013</v>
      </c>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13" t="s">
        <v>351</v>
      </c>
      <c r="B13" s="13" t="s">
        <v>212</v>
      </c>
      <c r="C13" s="98" t="s">
        <v>84</v>
      </c>
      <c r="D13" s="101" t="str">
        <f aca="false">IFERROR(INDEX(値リスト!$G$16:$G$21,MATCH(C13,値リスト!$H$16:$H$21,0)),"")</f>
        <v>dawn</v>
      </c>
      <c r="E13" s="13" t="n">
        <v>0.28</v>
      </c>
      <c r="F13" s="13" t="n">
        <v>1</v>
      </c>
      <c r="G13" s="13"/>
      <c r="H13" s="12"/>
      <c r="I13" s="1"/>
      <c r="J13" s="1"/>
      <c r="K13" s="1"/>
      <c r="L13" s="1"/>
      <c r="M13" s="1"/>
      <c r="N13" s="1"/>
      <c r="O13" s="1"/>
      <c r="P13" s="1"/>
      <c r="Q13" s="1"/>
      <c r="R13" s="1"/>
      <c r="S13" s="1"/>
      <c r="T13" s="1"/>
      <c r="U13" s="1"/>
      <c r="V13" s="1"/>
      <c r="W13" s="1"/>
      <c r="X13" s="1"/>
      <c r="Y13" s="1"/>
      <c r="Z13" s="1"/>
    </row>
    <row r="14" customFormat="false" ht="15" hidden="false" customHeight="true" outlineLevel="0" collapsed="false">
      <c r="A14" s="13" t="s">
        <v>355</v>
      </c>
      <c r="B14" s="13" t="s">
        <v>192</v>
      </c>
      <c r="C14" s="98" t="s">
        <v>90</v>
      </c>
      <c r="D14" s="101" t="str">
        <f aca="false">IFERROR(INDEX(値リスト!$G$16:$G$21,MATCH(C14,値リスト!$H$16:$H$21,0)),"")</f>
        <v>morning</v>
      </c>
      <c r="E14" s="13" t="n">
        <v>0.6</v>
      </c>
      <c r="F14" s="13" t="n">
        <v>1</v>
      </c>
      <c r="G14" s="13"/>
      <c r="H14" s="12" t="s">
        <v>1014</v>
      </c>
      <c r="I14" s="1"/>
      <c r="J14" s="1"/>
      <c r="K14" s="1"/>
      <c r="L14" s="1"/>
      <c r="M14" s="1"/>
      <c r="N14" s="1"/>
      <c r="O14" s="1"/>
      <c r="P14" s="1"/>
      <c r="Q14" s="1"/>
      <c r="R14" s="1"/>
      <c r="S14" s="1"/>
      <c r="T14" s="1"/>
      <c r="U14" s="1"/>
      <c r="V14" s="1"/>
      <c r="W14" s="1"/>
      <c r="X14" s="1"/>
      <c r="Y14" s="1"/>
      <c r="Z14" s="1"/>
    </row>
    <row r="15" customFormat="false" ht="15" hidden="false" customHeight="true" outlineLevel="0" collapsed="false">
      <c r="A15" s="13" t="s">
        <v>355</v>
      </c>
      <c r="B15" s="13" t="s">
        <v>192</v>
      </c>
      <c r="C15" s="98" t="s">
        <v>108</v>
      </c>
      <c r="D15" s="101" t="str">
        <f aca="false">IFERROR(INDEX(値リスト!$G$16:$G$21,MATCH(C15,値リスト!$H$16:$H$21,0)),"")</f>
        <v>night</v>
      </c>
      <c r="E15" s="13" t="n">
        <v>0.45</v>
      </c>
      <c r="F15" s="13" t="n">
        <v>1</v>
      </c>
      <c r="G15" s="13"/>
      <c r="H15" s="12"/>
      <c r="I15" s="1"/>
      <c r="J15" s="1"/>
      <c r="K15" s="1"/>
      <c r="L15" s="1"/>
      <c r="M15" s="1"/>
      <c r="N15" s="1"/>
      <c r="O15" s="1"/>
      <c r="P15" s="1"/>
      <c r="Q15" s="1"/>
      <c r="R15" s="1"/>
      <c r="S15" s="1"/>
      <c r="T15" s="1"/>
      <c r="U15" s="1"/>
      <c r="V15" s="1"/>
      <c r="W15" s="1"/>
      <c r="X15" s="1"/>
      <c r="Y15" s="1"/>
      <c r="Z15" s="1"/>
    </row>
    <row r="16" customFormat="false" ht="15" hidden="false" customHeight="true" outlineLevel="0" collapsed="false">
      <c r="A16" s="13" t="s">
        <v>355</v>
      </c>
      <c r="B16" s="13" t="s">
        <v>228</v>
      </c>
      <c r="C16" s="98" t="s">
        <v>96</v>
      </c>
      <c r="D16" s="101" t="str">
        <f aca="false">IFERROR(INDEX(値リスト!$G$16:$G$21,MATCH(C16,値リスト!$H$16:$H$21,0)),"")</f>
        <v>noon</v>
      </c>
      <c r="E16" s="13" t="n">
        <v>0.35</v>
      </c>
      <c r="F16" s="13" t="n">
        <v>1</v>
      </c>
      <c r="G16" s="13"/>
      <c r="H16" s="12"/>
      <c r="I16" s="1"/>
      <c r="J16" s="1"/>
      <c r="K16" s="1"/>
      <c r="L16" s="1"/>
      <c r="M16" s="1"/>
      <c r="N16" s="1"/>
      <c r="O16" s="1"/>
      <c r="P16" s="1"/>
      <c r="Q16" s="1"/>
      <c r="R16" s="1"/>
      <c r="S16" s="1"/>
      <c r="T16" s="1"/>
      <c r="U16" s="1"/>
      <c r="V16" s="1"/>
      <c r="W16" s="1"/>
      <c r="X16" s="1"/>
      <c r="Y16" s="1"/>
      <c r="Z16" s="1"/>
    </row>
    <row r="17" customFormat="false" ht="15" hidden="false" customHeight="true" outlineLevel="0" collapsed="false">
      <c r="A17" s="13" t="s">
        <v>359</v>
      </c>
      <c r="B17" s="13" t="s">
        <v>184</v>
      </c>
      <c r="C17" s="98" t="s">
        <v>90</v>
      </c>
      <c r="D17" s="101" t="str">
        <f aca="false">IFERROR(INDEX(値リスト!$G$16:$G$21,MATCH(C17,値リスト!$H$16:$H$21,0)),"")</f>
        <v>morning</v>
      </c>
      <c r="E17" s="13" t="n">
        <v>0.5</v>
      </c>
      <c r="F17" s="13" t="n">
        <v>1</v>
      </c>
      <c r="G17" s="13"/>
      <c r="H17" s="12" t="s">
        <v>1015</v>
      </c>
      <c r="I17" s="1"/>
      <c r="J17" s="1"/>
      <c r="K17" s="1"/>
      <c r="L17" s="1"/>
      <c r="M17" s="1"/>
      <c r="N17" s="1"/>
      <c r="O17" s="1"/>
      <c r="P17" s="1"/>
      <c r="Q17" s="1"/>
      <c r="R17" s="1"/>
      <c r="S17" s="1"/>
      <c r="T17" s="1"/>
      <c r="U17" s="1"/>
      <c r="V17" s="1"/>
      <c r="W17" s="1"/>
      <c r="X17" s="1"/>
      <c r="Y17" s="1"/>
      <c r="Z17" s="1"/>
    </row>
    <row r="18" customFormat="false" ht="15" hidden="false" customHeight="true" outlineLevel="0" collapsed="false">
      <c r="A18" s="13" t="s">
        <v>359</v>
      </c>
      <c r="B18" s="13" t="s">
        <v>240</v>
      </c>
      <c r="C18" s="98" t="s">
        <v>90</v>
      </c>
      <c r="D18" s="101" t="str">
        <f aca="false">IFERROR(INDEX(値リスト!$G$16:$G$21,MATCH(C18,値リスト!$H$16:$H$21,0)),"")</f>
        <v>morning</v>
      </c>
      <c r="E18" s="13" t="n">
        <v>0.3</v>
      </c>
      <c r="F18" s="13" t="n">
        <v>1</v>
      </c>
      <c r="G18" s="13"/>
      <c r="H18" s="12"/>
      <c r="I18" s="1"/>
      <c r="J18" s="1"/>
      <c r="K18" s="1"/>
      <c r="L18" s="1"/>
      <c r="M18" s="1"/>
      <c r="N18" s="1"/>
      <c r="O18" s="1"/>
      <c r="P18" s="1"/>
      <c r="Q18" s="1"/>
      <c r="R18" s="1"/>
      <c r="S18" s="1"/>
      <c r="T18" s="1"/>
      <c r="U18" s="1"/>
      <c r="V18" s="1"/>
      <c r="W18" s="1"/>
      <c r="X18" s="1"/>
      <c r="Y18" s="1"/>
      <c r="Z18" s="1"/>
    </row>
    <row r="19" customFormat="false" ht="15" hidden="false" customHeight="true" outlineLevel="0" collapsed="false">
      <c r="A19" s="13" t="s">
        <v>363</v>
      </c>
      <c r="B19" s="13" t="s">
        <v>176</v>
      </c>
      <c r="C19" s="98" t="s">
        <v>96</v>
      </c>
      <c r="D19" s="101" t="str">
        <f aca="false">IFERROR(INDEX(値リスト!$G$16:$G$21,MATCH(C19,値リスト!$H$16:$H$21,0)),"")</f>
        <v>noon</v>
      </c>
      <c r="E19" s="13" t="n">
        <v>0.35</v>
      </c>
      <c r="F19" s="13" t="n">
        <v>1</v>
      </c>
      <c r="G19" s="13"/>
      <c r="H19" s="12"/>
      <c r="I19" s="1"/>
      <c r="J19" s="1"/>
      <c r="K19" s="1"/>
      <c r="L19" s="1"/>
      <c r="M19" s="1"/>
      <c r="N19" s="1"/>
      <c r="O19" s="1"/>
      <c r="P19" s="1"/>
      <c r="Q19" s="1"/>
      <c r="R19" s="1"/>
      <c r="S19" s="1"/>
      <c r="T19" s="1"/>
      <c r="U19" s="1"/>
      <c r="V19" s="1"/>
      <c r="W19" s="1"/>
      <c r="X19" s="1"/>
      <c r="Y19" s="1"/>
      <c r="Z19" s="1"/>
    </row>
    <row r="20" customFormat="false" ht="15" hidden="false" customHeight="true" outlineLevel="0" collapsed="false">
      <c r="A20" s="13" t="s">
        <v>363</v>
      </c>
      <c r="B20" s="13" t="s">
        <v>271</v>
      </c>
      <c r="C20" s="98" t="s">
        <v>108</v>
      </c>
      <c r="D20" s="101" t="str">
        <f aca="false">IFERROR(INDEX(値リスト!$G$16:$G$21,MATCH(C20,値リスト!$H$16:$H$21,0)),"")</f>
        <v>night</v>
      </c>
      <c r="E20" s="13" t="n">
        <v>0.28</v>
      </c>
      <c r="F20" s="13" t="n">
        <v>1</v>
      </c>
      <c r="G20" s="13"/>
      <c r="H20" s="12"/>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3" t="s">
        <v>363</v>
      </c>
      <c r="B21" s="13" t="s">
        <v>264</v>
      </c>
      <c r="C21" s="98" t="s">
        <v>96</v>
      </c>
      <c r="D21" s="101" t="str">
        <f aca="false">IFERROR(INDEX(値リスト!$G$16:$G$21,MATCH(C21,値リスト!$H$16:$H$21,0)),"")</f>
        <v>noon</v>
      </c>
      <c r="E21" s="13" t="n">
        <v>0.22</v>
      </c>
      <c r="F21" s="13" t="n">
        <v>1</v>
      </c>
      <c r="G21" s="13"/>
      <c r="H21" s="12"/>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3" t="s">
        <v>367</v>
      </c>
      <c r="B22" s="13" t="s">
        <v>228</v>
      </c>
      <c r="C22" s="98" t="s">
        <v>114</v>
      </c>
      <c r="D22" s="101" t="str">
        <f aca="false">IFERROR(INDEX(値リスト!$G$16:$G$21,MATCH(C22,値リスト!$H$16:$H$21,0)),"")</f>
        <v>midnight</v>
      </c>
      <c r="E22" s="13" t="n">
        <v>0.12</v>
      </c>
      <c r="F22" s="13" t="n">
        <v>1</v>
      </c>
      <c r="G22" s="13"/>
      <c r="H22" s="12" t="s">
        <v>1016</v>
      </c>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3" t="s">
        <v>367</v>
      </c>
      <c r="B23" s="13" t="s">
        <v>192</v>
      </c>
      <c r="C23" s="98" t="s">
        <v>108</v>
      </c>
      <c r="D23" s="101" t="str">
        <f aca="false">IFERROR(INDEX(値リスト!$G$16:$G$21,MATCH(C23,値リスト!$H$16:$H$21,0)),"")</f>
        <v>night</v>
      </c>
      <c r="E23" s="13" t="n">
        <v>0.09</v>
      </c>
      <c r="F23" s="13" t="n">
        <v>1</v>
      </c>
      <c r="G23" s="13"/>
      <c r="H23" s="12"/>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3" t="s">
        <v>371</v>
      </c>
      <c r="B24" s="13" t="s">
        <v>244</v>
      </c>
      <c r="C24" s="98" t="s">
        <v>96</v>
      </c>
      <c r="D24" s="101" t="str">
        <f aca="false">IFERROR(INDEX(値リスト!$G$16:$G$21,MATCH(C24,値リスト!$H$16:$H$21,0)),"")</f>
        <v>noon</v>
      </c>
      <c r="E24" s="13" t="n">
        <v>0.5</v>
      </c>
      <c r="F24" s="13" t="n">
        <v>1</v>
      </c>
      <c r="G24" s="13"/>
      <c r="H24" s="12" t="s">
        <v>1017</v>
      </c>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3" t="s">
        <v>371</v>
      </c>
      <c r="B25" s="13" t="s">
        <v>248</v>
      </c>
      <c r="C25" s="98" t="s">
        <v>102</v>
      </c>
      <c r="D25" s="101" t="str">
        <f aca="false">IFERROR(INDEX(値リスト!$G$16:$G$21,MATCH(C25,値リスト!$H$16:$H$21,0)),"")</f>
        <v>afternoon</v>
      </c>
      <c r="E25" s="13" t="n">
        <v>0.38</v>
      </c>
      <c r="F25" s="13" t="n">
        <v>1</v>
      </c>
      <c r="G25" s="13"/>
      <c r="H25" s="12"/>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3" t="s">
        <v>375</v>
      </c>
      <c r="B26" s="13" t="s">
        <v>188</v>
      </c>
      <c r="C26" s="98" t="s">
        <v>102</v>
      </c>
      <c r="D26" s="101" t="str">
        <f aca="false">IFERROR(INDEX(値リスト!$G$16:$G$21,MATCH(C26,値リスト!$H$16:$H$21,0)),"")</f>
        <v>afternoon</v>
      </c>
      <c r="E26" s="13" t="n">
        <v>0.35</v>
      </c>
      <c r="F26" s="13" t="n">
        <v>1</v>
      </c>
      <c r="G26" s="13"/>
      <c r="H26" s="12"/>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3" t="s">
        <v>375</v>
      </c>
      <c r="B27" s="13" t="s">
        <v>240</v>
      </c>
      <c r="C27" s="98" t="s">
        <v>90</v>
      </c>
      <c r="D27" s="101" t="str">
        <f aca="false">IFERROR(INDEX(値リスト!$G$16:$G$21,MATCH(C27,値リスト!$H$16:$H$21,0)),"")</f>
        <v>morning</v>
      </c>
      <c r="E27" s="13" t="n">
        <v>0.22</v>
      </c>
      <c r="F27" s="13" t="n">
        <v>1</v>
      </c>
      <c r="G27" s="13"/>
      <c r="H27" s="12"/>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3" t="s">
        <v>379</v>
      </c>
      <c r="B28" s="13" t="s">
        <v>224</v>
      </c>
      <c r="C28" s="98" t="s">
        <v>114</v>
      </c>
      <c r="D28" s="101" t="str">
        <f aca="false">IFERROR(INDEX(値リスト!$G$16:$G$21,MATCH(C28,値リスト!$H$16:$H$21,0)),"")</f>
        <v>midnight</v>
      </c>
      <c r="E28" s="13" t="n">
        <v>0.3</v>
      </c>
      <c r="F28" s="13" t="n">
        <v>1</v>
      </c>
      <c r="G28" s="13"/>
      <c r="H28" s="12" t="s">
        <v>1018</v>
      </c>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3" t="s">
        <v>379</v>
      </c>
      <c r="B29" s="13" t="s">
        <v>295</v>
      </c>
      <c r="C29" s="98" t="s">
        <v>108</v>
      </c>
      <c r="D29" s="101" t="str">
        <f aca="false">IFERROR(INDEX(値リスト!$G$16:$G$21,MATCH(C29,値リスト!$H$16:$H$21,0)),"")</f>
        <v>night</v>
      </c>
      <c r="E29" s="13" t="n">
        <v>0.2</v>
      </c>
      <c r="F29" s="13" t="n">
        <v>1</v>
      </c>
      <c r="G29" s="13"/>
      <c r="H29" s="12"/>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3" t="s">
        <v>383</v>
      </c>
      <c r="B30" s="13" t="s">
        <v>184</v>
      </c>
      <c r="C30" s="98" t="s">
        <v>96</v>
      </c>
      <c r="D30" s="101" t="str">
        <f aca="false">IFERROR(INDEX(値リスト!$G$16:$G$21,MATCH(C30,値リスト!$H$16:$H$21,0)),"")</f>
        <v>noon</v>
      </c>
      <c r="E30" s="13" t="n">
        <v>0.4</v>
      </c>
      <c r="F30" s="13" t="n">
        <v>1</v>
      </c>
      <c r="G30" s="13"/>
      <c r="H30" s="12" t="s">
        <v>1019</v>
      </c>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3" t="s">
        <v>383</v>
      </c>
      <c r="B31" s="13" t="s">
        <v>188</v>
      </c>
      <c r="C31" s="98" t="s">
        <v>96</v>
      </c>
      <c r="D31" s="101" t="str">
        <f aca="false">IFERROR(INDEX(値リスト!$G$16:$G$21,MATCH(C31,値リスト!$H$16:$H$21,0)),"")</f>
        <v>noon</v>
      </c>
      <c r="E31" s="13" t="n">
        <v>0.25</v>
      </c>
      <c r="F31" s="13" t="n">
        <v>1</v>
      </c>
      <c r="G31" s="13"/>
      <c r="H31" s="12"/>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3" t="s">
        <v>387</v>
      </c>
      <c r="B32" s="13" t="s">
        <v>236</v>
      </c>
      <c r="C32" s="98" t="s">
        <v>84</v>
      </c>
      <c r="D32" s="101" t="str">
        <f aca="false">IFERROR(INDEX(値リスト!$G$16:$G$21,MATCH(C32,値リスト!$H$16:$H$21,0)),"")</f>
        <v>dawn</v>
      </c>
      <c r="E32" s="13" t="n">
        <v>0.16</v>
      </c>
      <c r="F32" s="13" t="n">
        <v>1</v>
      </c>
      <c r="G32" s="13"/>
      <c r="H32" s="12" t="s">
        <v>1020</v>
      </c>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3" t="s">
        <v>387</v>
      </c>
      <c r="B33" s="13" t="s">
        <v>232</v>
      </c>
      <c r="C33" s="98" t="s">
        <v>114</v>
      </c>
      <c r="D33" s="101" t="str">
        <f aca="false">IFERROR(INDEX(値リスト!$G$16:$G$21,MATCH(C33,値リスト!$H$16:$H$21,0)),"")</f>
        <v>midnight</v>
      </c>
      <c r="E33" s="13" t="n">
        <v>0.11</v>
      </c>
      <c r="F33" s="13" t="n">
        <v>1</v>
      </c>
      <c r="G33" s="13"/>
      <c r="H33" s="12"/>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3" t="s">
        <v>391</v>
      </c>
      <c r="B34" s="13" t="s">
        <v>283</v>
      </c>
      <c r="C34" s="98" t="s">
        <v>96</v>
      </c>
      <c r="D34" s="101" t="str">
        <f aca="false">IFERROR(INDEX(値リスト!$G$16:$G$21,MATCH(C34,値リスト!$H$16:$H$21,0)),"")</f>
        <v>noon</v>
      </c>
      <c r="E34" s="13" t="n">
        <v>0.06</v>
      </c>
      <c r="F34" s="13" t="n">
        <v>1</v>
      </c>
      <c r="G34" s="13"/>
      <c r="H34" s="12" t="s">
        <v>1021</v>
      </c>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3" t="s">
        <v>391</v>
      </c>
      <c r="B35" s="13" t="s">
        <v>283</v>
      </c>
      <c r="C35" s="98" t="s">
        <v>114</v>
      </c>
      <c r="D35" s="101" t="str">
        <f aca="false">IFERROR(INDEX(値リスト!$G$16:$G$21,MATCH(C35,値リスト!$H$16:$H$21,0)),"")</f>
        <v>midnight</v>
      </c>
      <c r="E35" s="13" t="n">
        <v>0.03</v>
      </c>
      <c r="F35" s="13" t="n">
        <v>1</v>
      </c>
      <c r="G35" s="14" t="s">
        <v>1022</v>
      </c>
      <c r="H35" s="12" t="s">
        <v>1023</v>
      </c>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3" t="s">
        <v>398</v>
      </c>
      <c r="B36" s="13" t="s">
        <v>204</v>
      </c>
      <c r="C36" s="98" t="s">
        <v>90</v>
      </c>
      <c r="D36" s="101" t="str">
        <f aca="false">IFERROR(INDEX(値リスト!$G$16:$G$21,MATCH(C36,値リスト!$H$16:$H$21,0)),"")</f>
        <v>morning</v>
      </c>
      <c r="E36" s="13" t="n">
        <v>0.6</v>
      </c>
      <c r="F36" s="13" t="n">
        <v>1</v>
      </c>
      <c r="G36" s="13"/>
      <c r="H36" s="12" t="s">
        <v>1024</v>
      </c>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3" t="s">
        <v>398</v>
      </c>
      <c r="B37" s="13" t="s">
        <v>220</v>
      </c>
      <c r="C37" s="98" t="s">
        <v>96</v>
      </c>
      <c r="D37" s="101" t="str">
        <f aca="false">IFERROR(INDEX(値リスト!$G$16:$G$21,MATCH(C37,値リスト!$H$16:$H$21,0)),"")</f>
        <v>noon</v>
      </c>
      <c r="E37" s="13" t="n">
        <v>0.45</v>
      </c>
      <c r="F37" s="13" t="n">
        <v>1</v>
      </c>
      <c r="G37" s="13"/>
      <c r="H37" s="12"/>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3" t="s">
        <v>398</v>
      </c>
      <c r="B38" s="13" t="s">
        <v>260</v>
      </c>
      <c r="C38" s="98" t="s">
        <v>90</v>
      </c>
      <c r="D38" s="101" t="str">
        <f aca="false">IFERROR(INDEX(値リスト!$G$16:$G$21,MATCH(C38,値リスト!$H$16:$H$21,0)),"")</f>
        <v>morning</v>
      </c>
      <c r="E38" s="13" t="n">
        <v>0.25</v>
      </c>
      <c r="F38" s="13" t="n">
        <v>1</v>
      </c>
      <c r="G38" s="13"/>
      <c r="H38" s="12"/>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3" t="s">
        <v>402</v>
      </c>
      <c r="B39" s="13" t="s">
        <v>164</v>
      </c>
      <c r="C39" s="98" t="s">
        <v>90</v>
      </c>
      <c r="D39" s="101" t="str">
        <f aca="false">IFERROR(INDEX(値リスト!$G$16:$G$21,MATCH(C39,値リスト!$H$16:$H$21,0)),"")</f>
        <v>morning</v>
      </c>
      <c r="E39" s="13" t="n">
        <v>0.55</v>
      </c>
      <c r="F39" s="13" t="n">
        <v>1</v>
      </c>
      <c r="G39" s="13"/>
      <c r="H39" s="12"/>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3" t="s">
        <v>402</v>
      </c>
      <c r="B40" s="13" t="s">
        <v>168</v>
      </c>
      <c r="C40" s="98" t="s">
        <v>102</v>
      </c>
      <c r="D40" s="101" t="str">
        <f aca="false">IFERROR(INDEX(値リスト!$G$16:$G$21,MATCH(C40,値リスト!$H$16:$H$21,0)),"")</f>
        <v>afternoon</v>
      </c>
      <c r="E40" s="13" t="n">
        <v>0.45</v>
      </c>
      <c r="F40" s="13" t="n">
        <v>1</v>
      </c>
      <c r="G40" s="13"/>
      <c r="H40" s="12"/>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3" t="s">
        <v>402</v>
      </c>
      <c r="B41" s="13" t="s">
        <v>172</v>
      </c>
      <c r="C41" s="98" t="s">
        <v>96</v>
      </c>
      <c r="D41" s="101" t="str">
        <f aca="false">IFERROR(INDEX(値リスト!$G$16:$G$21,MATCH(C41,値リスト!$H$16:$H$21,0)),"")</f>
        <v>noon</v>
      </c>
      <c r="E41" s="13" t="n">
        <v>0.25</v>
      </c>
      <c r="F41" s="13" t="n">
        <v>1</v>
      </c>
      <c r="G41" s="13"/>
      <c r="H41" s="12"/>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3" t="s">
        <v>406</v>
      </c>
      <c r="B42" s="13" t="s">
        <v>172</v>
      </c>
      <c r="C42" s="98" t="s">
        <v>96</v>
      </c>
      <c r="D42" s="101" t="str">
        <f aca="false">IFERROR(INDEX(値リスト!$G$16:$G$21,MATCH(C42,値リスト!$H$16:$H$21,0)),"")</f>
        <v>noon</v>
      </c>
      <c r="E42" s="13" t="n">
        <v>0.65</v>
      </c>
      <c r="F42" s="13" t="n">
        <v>1</v>
      </c>
      <c r="G42" s="13"/>
      <c r="H42" s="12" t="s">
        <v>1025</v>
      </c>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3" t="s">
        <v>406</v>
      </c>
      <c r="B43" s="13" t="s">
        <v>252</v>
      </c>
      <c r="C43" s="98" t="s">
        <v>102</v>
      </c>
      <c r="D43" s="101" t="str">
        <f aca="false">IFERROR(INDEX(値リスト!$G$16:$G$21,MATCH(C43,値リスト!$H$16:$H$21,0)),"")</f>
        <v>afternoon</v>
      </c>
      <c r="E43" s="13" t="n">
        <v>0.5</v>
      </c>
      <c r="F43" s="13" t="n">
        <v>1</v>
      </c>
      <c r="G43" s="13"/>
      <c r="H43" s="12"/>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3" t="s">
        <v>406</v>
      </c>
      <c r="B44" s="13" t="s">
        <v>164</v>
      </c>
      <c r="C44" s="98" t="s">
        <v>102</v>
      </c>
      <c r="D44" s="101" t="str">
        <f aca="false">IFERROR(INDEX(値リスト!$G$16:$G$21,MATCH(C44,値リスト!$H$16:$H$21,0)),"")</f>
        <v>afternoon</v>
      </c>
      <c r="E44" s="13" t="n">
        <v>0.35</v>
      </c>
      <c r="F44" s="13" t="n">
        <v>1</v>
      </c>
      <c r="G44" s="13"/>
      <c r="H44" s="12"/>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3" t="s">
        <v>410</v>
      </c>
      <c r="B45" s="13" t="s">
        <v>196</v>
      </c>
      <c r="C45" s="98" t="s">
        <v>84</v>
      </c>
      <c r="D45" s="101" t="str">
        <f aca="false">IFERROR(INDEX(値リスト!$G$16:$G$21,MATCH(C45,値リスト!$H$16:$H$21,0)),"")</f>
        <v>dawn</v>
      </c>
      <c r="E45" s="13" t="n">
        <v>0.55</v>
      </c>
      <c r="F45" s="13" t="n">
        <v>1</v>
      </c>
      <c r="G45" s="13"/>
      <c r="H45" s="12" t="s">
        <v>1026</v>
      </c>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3" t="s">
        <v>410</v>
      </c>
      <c r="B46" s="13" t="s">
        <v>164</v>
      </c>
      <c r="C46" s="98" t="s">
        <v>84</v>
      </c>
      <c r="D46" s="101" t="str">
        <f aca="false">IFERROR(INDEX(値リスト!$G$16:$G$21,MATCH(C46,値リスト!$H$16:$H$21,0)),"")</f>
        <v>dawn</v>
      </c>
      <c r="E46" s="13" t="n">
        <v>0.45</v>
      </c>
      <c r="F46" s="13" t="n">
        <v>1</v>
      </c>
      <c r="G46" s="13"/>
      <c r="H46" s="12"/>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3" t="s">
        <v>410</v>
      </c>
      <c r="B47" s="13" t="s">
        <v>208</v>
      </c>
      <c r="C47" s="98" t="s">
        <v>84</v>
      </c>
      <c r="D47" s="101" t="str">
        <f aca="false">IFERROR(INDEX(値リスト!$G$16:$G$21,MATCH(C47,値リスト!$H$16:$H$21,0)),"")</f>
        <v>dawn</v>
      </c>
      <c r="E47" s="13" t="n">
        <v>0.3</v>
      </c>
      <c r="F47" s="13" t="n">
        <v>1</v>
      </c>
      <c r="G47" s="13"/>
      <c r="H47" s="12"/>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3" t="s">
        <v>414</v>
      </c>
      <c r="B48" s="13" t="s">
        <v>164</v>
      </c>
      <c r="C48" s="98" t="s">
        <v>96</v>
      </c>
      <c r="D48" s="101" t="str">
        <f aca="false">IFERROR(INDEX(値リスト!$G$16:$G$21,MATCH(C48,値リスト!$H$16:$H$21,0)),"")</f>
        <v>noon</v>
      </c>
      <c r="E48" s="13" t="n">
        <v>0.48</v>
      </c>
      <c r="F48" s="13" t="n">
        <v>1</v>
      </c>
      <c r="G48" s="13"/>
      <c r="H48" s="12"/>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3" t="s">
        <v>414</v>
      </c>
      <c r="B49" s="13" t="s">
        <v>306</v>
      </c>
      <c r="C49" s="98" t="s">
        <v>90</v>
      </c>
      <c r="D49" s="101" t="str">
        <f aca="false">IFERROR(INDEX(値リスト!$G$16:$G$21,MATCH(C49,値リスト!$H$16:$H$21,0)),"")</f>
        <v>morning</v>
      </c>
      <c r="E49" s="13" t="n">
        <v>0.35</v>
      </c>
      <c r="F49" s="13" t="n">
        <v>1</v>
      </c>
      <c r="G49" s="13"/>
      <c r="H49" s="12" t="s">
        <v>1027</v>
      </c>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3" t="s">
        <v>418</v>
      </c>
      <c r="B50" s="13" t="s">
        <v>232</v>
      </c>
      <c r="C50" s="98" t="s">
        <v>96</v>
      </c>
      <c r="D50" s="101" t="str">
        <f aca="false">IFERROR(INDEX(値リスト!$G$16:$G$21,MATCH(C50,値リスト!$H$16:$H$21,0)),"")</f>
        <v>noon</v>
      </c>
      <c r="E50" s="13" t="n">
        <v>0.38</v>
      </c>
      <c r="F50" s="13" t="n">
        <v>1</v>
      </c>
      <c r="G50" s="13"/>
      <c r="H50" s="12" t="s">
        <v>1028</v>
      </c>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3" t="s">
        <v>418</v>
      </c>
      <c r="B51" s="13" t="s">
        <v>180</v>
      </c>
      <c r="C51" s="98" t="s">
        <v>102</v>
      </c>
      <c r="D51" s="101" t="str">
        <f aca="false">IFERROR(INDEX(値リスト!$G$16:$G$21,MATCH(C51,値リスト!$H$16:$H$21,0)),"")</f>
        <v>afternoon</v>
      </c>
      <c r="E51" s="13" t="n">
        <v>0.3</v>
      </c>
      <c r="F51" s="13" t="n">
        <v>1</v>
      </c>
      <c r="G51" s="13"/>
      <c r="H51" s="12"/>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3" t="s">
        <v>418</v>
      </c>
      <c r="B52" s="13" t="s">
        <v>176</v>
      </c>
      <c r="C52" s="98" t="s">
        <v>96</v>
      </c>
      <c r="D52" s="101" t="str">
        <f aca="false">IFERROR(INDEX(値リスト!$G$16:$G$21,MATCH(C52,値リスト!$H$16:$H$21,0)),"")</f>
        <v>noon</v>
      </c>
      <c r="E52" s="13" t="n">
        <v>0.22</v>
      </c>
      <c r="F52" s="13" t="n">
        <v>1</v>
      </c>
      <c r="G52" s="13"/>
      <c r="H52" s="12"/>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3" t="s">
        <v>422</v>
      </c>
      <c r="B53" s="13" t="s">
        <v>168</v>
      </c>
      <c r="C53" s="98" t="s">
        <v>90</v>
      </c>
      <c r="D53" s="101" t="str">
        <f aca="false">IFERROR(INDEX(値リスト!$G$16:$G$21,MATCH(C53,値リスト!$H$16:$H$21,0)),"")</f>
        <v>morning</v>
      </c>
      <c r="E53" s="13" t="n">
        <v>0.45</v>
      </c>
      <c r="F53" s="13" t="n">
        <v>1</v>
      </c>
      <c r="G53" s="13"/>
      <c r="H53" s="12"/>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3" t="s">
        <v>422</v>
      </c>
      <c r="B54" s="13" t="s">
        <v>196</v>
      </c>
      <c r="C54" s="98" t="s">
        <v>90</v>
      </c>
      <c r="D54" s="101" t="str">
        <f aca="false">IFERROR(INDEX(値リスト!$G$16:$G$21,MATCH(C54,値リスト!$H$16:$H$21,0)),"")</f>
        <v>morning</v>
      </c>
      <c r="E54" s="13" t="n">
        <v>0.32</v>
      </c>
      <c r="F54" s="13" t="n">
        <v>1</v>
      </c>
      <c r="G54" s="13"/>
      <c r="H54" s="12"/>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3" t="s">
        <v>426</v>
      </c>
      <c r="B55" s="13" t="s">
        <v>208</v>
      </c>
      <c r="C55" s="98" t="s">
        <v>90</v>
      </c>
      <c r="D55" s="101" t="str">
        <f aca="false">IFERROR(INDEX(値リスト!$G$16:$G$21,MATCH(C55,値リスト!$H$16:$H$21,0)),"")</f>
        <v>morning</v>
      </c>
      <c r="E55" s="13" t="n">
        <v>0.52</v>
      </c>
      <c r="F55" s="13" t="n">
        <v>1</v>
      </c>
      <c r="G55" s="13"/>
      <c r="H55" s="12"/>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3" t="s">
        <v>426</v>
      </c>
      <c r="B56" s="13" t="s">
        <v>164</v>
      </c>
      <c r="C56" s="98" t="s">
        <v>90</v>
      </c>
      <c r="D56" s="101" t="str">
        <f aca="false">IFERROR(INDEX(値リスト!$G$16:$G$21,MATCH(C56,値リスト!$H$16:$H$21,0)),"")</f>
        <v>morning</v>
      </c>
      <c r="E56" s="13" t="n">
        <v>0.42</v>
      </c>
      <c r="F56" s="13" t="n">
        <v>1</v>
      </c>
      <c r="G56" s="13"/>
      <c r="H56" s="12"/>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3" t="s">
        <v>426</v>
      </c>
      <c r="B57" s="13" t="s">
        <v>204</v>
      </c>
      <c r="C57" s="98" t="s">
        <v>90</v>
      </c>
      <c r="D57" s="101" t="str">
        <f aca="false">IFERROR(INDEX(値リスト!$G$16:$G$21,MATCH(C57,値リスト!$H$16:$H$21,0)),"")</f>
        <v>morning</v>
      </c>
      <c r="E57" s="13" t="n">
        <v>0.3</v>
      </c>
      <c r="F57" s="13" t="n">
        <v>1</v>
      </c>
      <c r="G57" s="13"/>
      <c r="H57" s="12"/>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3" t="s">
        <v>430</v>
      </c>
      <c r="B58" s="13" t="s">
        <v>306</v>
      </c>
      <c r="C58" s="98" t="s">
        <v>102</v>
      </c>
      <c r="D58" s="101" t="str">
        <f aca="false">IFERROR(INDEX(値リスト!$G$16:$G$21,MATCH(C58,値リスト!$H$16:$H$21,0)),"")</f>
        <v>afternoon</v>
      </c>
      <c r="E58" s="13" t="n">
        <v>0.45</v>
      </c>
      <c r="F58" s="13" t="n">
        <v>1</v>
      </c>
      <c r="G58" s="13"/>
      <c r="H58" s="12" t="s">
        <v>1029</v>
      </c>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3" t="s">
        <v>430</v>
      </c>
      <c r="B59" s="13" t="s">
        <v>164</v>
      </c>
      <c r="C59" s="98" t="s">
        <v>102</v>
      </c>
      <c r="D59" s="101" t="str">
        <f aca="false">IFERROR(INDEX(値リスト!$G$16:$G$21,MATCH(C59,値リスト!$H$16:$H$21,0)),"")</f>
        <v>afternoon</v>
      </c>
      <c r="E59" s="13" t="n">
        <v>0.3</v>
      </c>
      <c r="F59" s="13" t="n">
        <v>1</v>
      </c>
      <c r="G59" s="13"/>
      <c r="H59" s="12"/>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3" t="s">
        <v>434</v>
      </c>
      <c r="B60" s="13" t="s">
        <v>236</v>
      </c>
      <c r="C60" s="98" t="s">
        <v>84</v>
      </c>
      <c r="D60" s="101" t="str">
        <f aca="false">IFERROR(INDEX(値リスト!$G$16:$G$21,MATCH(C60,値リスト!$H$16:$H$21,0)),"")</f>
        <v>dawn</v>
      </c>
      <c r="E60" s="13" t="n">
        <v>0.14</v>
      </c>
      <c r="F60" s="13" t="n">
        <v>1</v>
      </c>
      <c r="G60" s="13"/>
      <c r="H60" s="12" t="s">
        <v>1030</v>
      </c>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3" t="s">
        <v>434</v>
      </c>
      <c r="B61" s="13" t="s">
        <v>240</v>
      </c>
      <c r="C61" s="98" t="s">
        <v>114</v>
      </c>
      <c r="D61" s="101" t="str">
        <f aca="false">IFERROR(INDEX(値リスト!$G$16:$G$21,MATCH(C61,値リスト!$H$16:$H$21,0)),"")</f>
        <v>midnight</v>
      </c>
      <c r="E61" s="13" t="n">
        <v>0.08</v>
      </c>
      <c r="F61" s="13" t="n">
        <v>1</v>
      </c>
      <c r="G61" s="14" t="s">
        <v>1031</v>
      </c>
      <c r="H61" s="12" t="s">
        <v>1032</v>
      </c>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3" t="s">
        <v>438</v>
      </c>
      <c r="B62" s="13" t="s">
        <v>287</v>
      </c>
      <c r="C62" s="98" t="s">
        <v>102</v>
      </c>
      <c r="D62" s="101" t="str">
        <f aca="false">IFERROR(INDEX(値リスト!$G$16:$G$21,MATCH(C62,値リスト!$H$16:$H$21,0)),"")</f>
        <v>afternoon</v>
      </c>
      <c r="E62" s="13" t="n">
        <v>0.13</v>
      </c>
      <c r="F62" s="13" t="n">
        <v>1</v>
      </c>
      <c r="G62" s="13"/>
      <c r="H62" s="12" t="s">
        <v>1033</v>
      </c>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3" t="s">
        <v>438</v>
      </c>
      <c r="B63" s="13" t="s">
        <v>252</v>
      </c>
      <c r="C63" s="98" t="s">
        <v>96</v>
      </c>
      <c r="D63" s="101" t="str">
        <f aca="false">IFERROR(INDEX(値リスト!$G$16:$G$21,MATCH(C63,値リスト!$H$16:$H$21,0)),"")</f>
        <v>noon</v>
      </c>
      <c r="E63" s="13" t="n">
        <v>0.08</v>
      </c>
      <c r="F63" s="13" t="n">
        <v>1</v>
      </c>
      <c r="G63" s="13"/>
      <c r="H63" s="12"/>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3" t="s">
        <v>442</v>
      </c>
      <c r="B64" s="13" t="s">
        <v>224</v>
      </c>
      <c r="C64" s="98" t="s">
        <v>108</v>
      </c>
      <c r="D64" s="101" t="str">
        <f aca="false">IFERROR(INDEX(値リスト!$G$16:$G$21,MATCH(C64,値リスト!$H$16:$H$21,0)),"")</f>
        <v>night</v>
      </c>
      <c r="E64" s="13" t="n">
        <v>0.13</v>
      </c>
      <c r="F64" s="13" t="n">
        <v>1</v>
      </c>
      <c r="G64" s="13"/>
      <c r="H64" s="12" t="s">
        <v>1034</v>
      </c>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3" t="s">
        <v>442</v>
      </c>
      <c r="B65" s="13" t="s">
        <v>295</v>
      </c>
      <c r="C65" s="98" t="s">
        <v>114</v>
      </c>
      <c r="D65" s="101" t="str">
        <f aca="false">IFERROR(INDEX(値リスト!$G$16:$G$21,MATCH(C65,値リスト!$H$16:$H$21,0)),"")</f>
        <v>midnight</v>
      </c>
      <c r="E65" s="13" t="n">
        <v>0.09</v>
      </c>
      <c r="F65" s="13" t="n">
        <v>1</v>
      </c>
      <c r="G65" s="13"/>
      <c r="H65" s="12"/>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3" t="s">
        <v>446</v>
      </c>
      <c r="B66" s="13" t="s">
        <v>212</v>
      </c>
      <c r="C66" s="98" t="s">
        <v>96</v>
      </c>
      <c r="D66" s="101" t="str">
        <f aca="false">IFERROR(INDEX(値リスト!$G$16:$G$21,MATCH(C66,値リスト!$H$16:$H$21,0)),"")</f>
        <v>noon</v>
      </c>
      <c r="E66" s="13" t="n">
        <v>0.48</v>
      </c>
      <c r="F66" s="13" t="n">
        <v>1</v>
      </c>
      <c r="G66" s="13"/>
      <c r="H66" s="12"/>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3" t="s">
        <v>446</v>
      </c>
      <c r="B67" s="13" t="s">
        <v>208</v>
      </c>
      <c r="C67" s="98" t="s">
        <v>102</v>
      </c>
      <c r="D67" s="101" t="str">
        <f aca="false">IFERROR(INDEX(値リスト!$G$16:$G$21,MATCH(C67,値リスト!$H$16:$H$21,0)),"")</f>
        <v>afternoon</v>
      </c>
      <c r="E67" s="13" t="n">
        <v>0.35</v>
      </c>
      <c r="F67" s="13" t="n">
        <v>1</v>
      </c>
      <c r="G67" s="13"/>
      <c r="H67" s="12"/>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3" t="s">
        <v>446</v>
      </c>
      <c r="B68" s="13" t="s">
        <v>216</v>
      </c>
      <c r="C68" s="98" t="s">
        <v>96</v>
      </c>
      <c r="D68" s="101" t="str">
        <f aca="false">IFERROR(INDEX(値リスト!$G$16:$G$21,MATCH(C68,値リスト!$H$16:$H$21,0)),"")</f>
        <v>noon</v>
      </c>
      <c r="E68" s="13" t="n">
        <v>0.28</v>
      </c>
      <c r="F68" s="13" t="n">
        <v>1</v>
      </c>
      <c r="G68" s="13"/>
      <c r="H68" s="12"/>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3" t="s">
        <v>450</v>
      </c>
      <c r="B69" s="13" t="s">
        <v>287</v>
      </c>
      <c r="C69" s="98" t="s">
        <v>96</v>
      </c>
      <c r="D69" s="101" t="str">
        <f aca="false">IFERROR(INDEX(値リスト!$G$16:$G$21,MATCH(C69,値リスト!$H$16:$H$21,0)),"")</f>
        <v>noon</v>
      </c>
      <c r="E69" s="13" t="n">
        <v>0.42</v>
      </c>
      <c r="F69" s="13" t="n">
        <v>1</v>
      </c>
      <c r="G69" s="13"/>
      <c r="H69" s="12"/>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3" t="s">
        <v>450</v>
      </c>
      <c r="B70" s="13" t="s">
        <v>176</v>
      </c>
      <c r="C70" s="98" t="s">
        <v>102</v>
      </c>
      <c r="D70" s="101" t="str">
        <f aca="false">IFERROR(INDEX(値リスト!$G$16:$G$21,MATCH(C70,値リスト!$H$16:$H$21,0)),"")</f>
        <v>afternoon</v>
      </c>
      <c r="E70" s="13" t="n">
        <v>0.3</v>
      </c>
      <c r="F70" s="13" t="n">
        <v>1</v>
      </c>
      <c r="G70" s="13"/>
      <c r="H70" s="12"/>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3" t="s">
        <v>450</v>
      </c>
      <c r="B71" s="13" t="s">
        <v>252</v>
      </c>
      <c r="C71" s="98" t="s">
        <v>96</v>
      </c>
      <c r="D71" s="101" t="str">
        <f aca="false">IFERROR(INDEX(値リスト!$G$16:$G$21,MATCH(C71,値リスト!$H$16:$H$21,0)),"")</f>
        <v>noon</v>
      </c>
      <c r="E71" s="13" t="n">
        <v>0.25</v>
      </c>
      <c r="F71" s="13" t="n">
        <v>1</v>
      </c>
      <c r="G71" s="13"/>
      <c r="H71" s="12"/>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3" t="s">
        <v>454</v>
      </c>
      <c r="B72" s="13" t="s">
        <v>256</v>
      </c>
      <c r="C72" s="98" t="s">
        <v>96</v>
      </c>
      <c r="D72" s="101" t="str">
        <f aca="false">IFERROR(INDEX(値リスト!$G$16:$G$21,MATCH(C72,値リスト!$H$16:$H$21,0)),"")</f>
        <v>noon</v>
      </c>
      <c r="E72" s="13" t="n">
        <v>0.45</v>
      </c>
      <c r="F72" s="13" t="n">
        <v>1</v>
      </c>
      <c r="G72" s="13"/>
      <c r="H72" s="12"/>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3" t="s">
        <v>454</v>
      </c>
      <c r="B73" s="13" t="s">
        <v>244</v>
      </c>
      <c r="C73" s="98" t="s">
        <v>90</v>
      </c>
      <c r="D73" s="101" t="str">
        <f aca="false">IFERROR(INDEX(値リスト!$G$16:$G$21,MATCH(C73,値リスト!$H$16:$H$21,0)),"")</f>
        <v>morning</v>
      </c>
      <c r="E73" s="13" t="n">
        <v>0.32</v>
      </c>
      <c r="F73" s="13" t="n">
        <v>1</v>
      </c>
      <c r="G73" s="13"/>
      <c r="H73" s="12"/>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3" t="s">
        <v>458</v>
      </c>
      <c r="B74" s="13" t="s">
        <v>172</v>
      </c>
      <c r="C74" s="98" t="s">
        <v>90</v>
      </c>
      <c r="D74" s="101" t="str">
        <f aca="false">IFERROR(INDEX(値リスト!$G$16:$G$21,MATCH(C74,値リスト!$H$16:$H$21,0)),"")</f>
        <v>morning</v>
      </c>
      <c r="E74" s="13" t="n">
        <v>0.55</v>
      </c>
      <c r="F74" s="13" t="n">
        <v>1</v>
      </c>
      <c r="G74" s="13"/>
      <c r="H74" s="12"/>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3" t="s">
        <v>458</v>
      </c>
      <c r="B75" s="13" t="s">
        <v>252</v>
      </c>
      <c r="C75" s="98" t="s">
        <v>96</v>
      </c>
      <c r="D75" s="101" t="str">
        <f aca="false">IFERROR(INDEX(値リスト!$G$16:$G$21,MATCH(C75,値リスト!$H$16:$H$21,0)),"")</f>
        <v>noon</v>
      </c>
      <c r="E75" s="13" t="n">
        <v>0.4</v>
      </c>
      <c r="F75" s="13" t="n">
        <v>1</v>
      </c>
      <c r="G75" s="13"/>
      <c r="H75" s="12"/>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3" t="s">
        <v>458</v>
      </c>
      <c r="B76" s="13" t="s">
        <v>306</v>
      </c>
      <c r="C76" s="98" t="s">
        <v>96</v>
      </c>
      <c r="D76" s="101" t="str">
        <f aca="false">IFERROR(INDEX(値リスト!$G$16:$G$21,MATCH(C76,値リスト!$H$16:$H$21,0)),"")</f>
        <v>noon</v>
      </c>
      <c r="E76" s="13" t="n">
        <v>0.28</v>
      </c>
      <c r="F76" s="13" t="n">
        <v>1</v>
      </c>
      <c r="G76" s="13"/>
      <c r="H76" s="12"/>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3" t="s">
        <v>462</v>
      </c>
      <c r="B77" s="13" t="s">
        <v>275</v>
      </c>
      <c r="C77" s="98" t="s">
        <v>96</v>
      </c>
      <c r="D77" s="101" t="str">
        <f aca="false">IFERROR(INDEX(値リスト!$G$16:$G$21,MATCH(C77,値リスト!$H$16:$H$21,0)),"")</f>
        <v>noon</v>
      </c>
      <c r="E77" s="13" t="n">
        <v>0.38</v>
      </c>
      <c r="F77" s="13" t="n">
        <v>1</v>
      </c>
      <c r="G77" s="13"/>
      <c r="H77" s="12"/>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3" t="s">
        <v>462</v>
      </c>
      <c r="B78" s="13" t="s">
        <v>271</v>
      </c>
      <c r="C78" s="98" t="s">
        <v>102</v>
      </c>
      <c r="D78" s="101" t="str">
        <f aca="false">IFERROR(INDEX(値リスト!$G$16:$G$21,MATCH(C78,値リスト!$H$16:$H$21,0)),"")</f>
        <v>afternoon</v>
      </c>
      <c r="E78" s="13" t="n">
        <v>0.28</v>
      </c>
      <c r="F78" s="13" t="n">
        <v>1</v>
      </c>
      <c r="G78" s="13"/>
      <c r="H78" s="12"/>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3" t="s">
        <v>462</v>
      </c>
      <c r="B79" s="13" t="s">
        <v>302</v>
      </c>
      <c r="C79" s="98" t="s">
        <v>102</v>
      </c>
      <c r="D79" s="101" t="str">
        <f aca="false">IFERROR(INDEX(値リスト!$G$16:$G$21,MATCH(C79,値リスト!$H$16:$H$21,0)),"")</f>
        <v>afternoon</v>
      </c>
      <c r="E79" s="13" t="n">
        <v>0.25</v>
      </c>
      <c r="F79" s="13" t="n">
        <v>1</v>
      </c>
      <c r="G79" s="13"/>
      <c r="H79" s="12"/>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3" t="s">
        <v>466</v>
      </c>
      <c r="B80" s="13" t="s">
        <v>236</v>
      </c>
      <c r="C80" s="98" t="s">
        <v>84</v>
      </c>
      <c r="D80" s="101" t="str">
        <f aca="false">IFERROR(INDEX(値リスト!$G$16:$G$21,MATCH(C80,値リスト!$H$16:$H$21,0)),"")</f>
        <v>dawn</v>
      </c>
      <c r="E80" s="13" t="n">
        <v>0.2</v>
      </c>
      <c r="F80" s="13" t="n">
        <v>1</v>
      </c>
      <c r="G80" s="13"/>
      <c r="H80" s="12" t="s">
        <v>1035</v>
      </c>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3" t="s">
        <v>466</v>
      </c>
      <c r="B81" s="13" t="s">
        <v>271</v>
      </c>
      <c r="C81" s="98" t="s">
        <v>114</v>
      </c>
      <c r="D81" s="101" t="str">
        <f aca="false">IFERROR(INDEX(値リスト!$G$16:$G$21,MATCH(C81,値リスト!$H$16:$H$21,0)),"")</f>
        <v>midnight</v>
      </c>
      <c r="E81" s="13" t="n">
        <v>0.13</v>
      </c>
      <c r="F81" s="13" t="n">
        <v>1</v>
      </c>
      <c r="G81" s="13"/>
      <c r="H81" s="12"/>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3" t="s">
        <v>470</v>
      </c>
      <c r="B82" s="13" t="s">
        <v>279</v>
      </c>
      <c r="C82" s="98" t="s">
        <v>96</v>
      </c>
      <c r="D82" s="101" t="str">
        <f aca="false">IFERROR(INDEX(値リスト!$G$16:$G$21,MATCH(C82,値リスト!$H$16:$H$21,0)),"")</f>
        <v>noon</v>
      </c>
      <c r="E82" s="13" t="n">
        <v>0.45</v>
      </c>
      <c r="F82" s="13" t="n">
        <v>1</v>
      </c>
      <c r="G82" s="13"/>
      <c r="H82" s="12" t="s">
        <v>1036</v>
      </c>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3" t="s">
        <v>470</v>
      </c>
      <c r="B83" s="13" t="s">
        <v>295</v>
      </c>
      <c r="C83" s="98" t="s">
        <v>90</v>
      </c>
      <c r="D83" s="101" t="str">
        <f aca="false">IFERROR(INDEX(値リスト!$G$16:$G$21,MATCH(C83,値リスト!$H$16:$H$21,0)),"")</f>
        <v>morning</v>
      </c>
      <c r="E83" s="13" t="n">
        <v>0.38</v>
      </c>
      <c r="F83" s="13" t="n">
        <v>1</v>
      </c>
      <c r="G83" s="13"/>
      <c r="H83" s="12" t="s">
        <v>1037</v>
      </c>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3" t="s">
        <v>474</v>
      </c>
      <c r="B84" s="13" t="s">
        <v>232</v>
      </c>
      <c r="C84" s="98" t="s">
        <v>102</v>
      </c>
      <c r="D84" s="101" t="str">
        <f aca="false">IFERROR(INDEX(値リスト!$G$16:$G$21,MATCH(C84,値リスト!$H$16:$H$21,0)),"")</f>
        <v>afternoon</v>
      </c>
      <c r="E84" s="13" t="n">
        <v>0.38</v>
      </c>
      <c r="F84" s="13" t="n">
        <v>1</v>
      </c>
      <c r="G84" s="13"/>
      <c r="H84" s="12"/>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3" t="s">
        <v>474</v>
      </c>
      <c r="B85" s="13" t="s">
        <v>279</v>
      </c>
      <c r="C85" s="98" t="s">
        <v>96</v>
      </c>
      <c r="D85" s="101" t="str">
        <f aca="false">IFERROR(INDEX(値リスト!$G$16:$G$21,MATCH(C85,値リスト!$H$16:$H$21,0)),"")</f>
        <v>noon</v>
      </c>
      <c r="E85" s="13" t="n">
        <v>0.32</v>
      </c>
      <c r="F85" s="13" t="n">
        <v>1</v>
      </c>
      <c r="G85" s="13"/>
      <c r="H85" s="12"/>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3" t="s">
        <v>474</v>
      </c>
      <c r="B86" s="13" t="s">
        <v>180</v>
      </c>
      <c r="C86" s="98" t="s">
        <v>96</v>
      </c>
      <c r="D86" s="101" t="str">
        <f aca="false">IFERROR(INDEX(値リスト!$G$16:$G$21,MATCH(C86,値リスト!$H$16:$H$21,0)),"")</f>
        <v>noon</v>
      </c>
      <c r="E86" s="13" t="n">
        <v>0.25</v>
      </c>
      <c r="F86" s="13" t="n">
        <v>1</v>
      </c>
      <c r="G86" s="13"/>
      <c r="H86" s="12"/>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3" t="s">
        <v>478</v>
      </c>
      <c r="B87" s="13" t="s">
        <v>264</v>
      </c>
      <c r="C87" s="98" t="s">
        <v>90</v>
      </c>
      <c r="D87" s="101" t="str">
        <f aca="false">IFERROR(INDEX(値リスト!$G$16:$G$21,MATCH(C87,値リスト!$H$16:$H$21,0)),"")</f>
        <v>morning</v>
      </c>
      <c r="E87" s="13" t="n">
        <v>0.5</v>
      </c>
      <c r="F87" s="13" t="n">
        <v>1</v>
      </c>
      <c r="G87" s="13"/>
      <c r="H87" s="12" t="s">
        <v>1038</v>
      </c>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3" t="s">
        <v>478</v>
      </c>
      <c r="B88" s="13" t="s">
        <v>260</v>
      </c>
      <c r="C88" s="98" t="s">
        <v>108</v>
      </c>
      <c r="D88" s="101" t="str">
        <f aca="false">IFERROR(INDEX(値リスト!$G$16:$G$21,MATCH(C88,値リスト!$H$16:$H$21,0)),"")</f>
        <v>night</v>
      </c>
      <c r="E88" s="13" t="n">
        <v>0.35</v>
      </c>
      <c r="F88" s="13" t="n">
        <v>1</v>
      </c>
      <c r="G88" s="13"/>
      <c r="H88" s="12"/>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3" t="s">
        <v>482</v>
      </c>
      <c r="B89" s="13" t="s">
        <v>279</v>
      </c>
      <c r="C89" s="98" t="s">
        <v>114</v>
      </c>
      <c r="D89" s="101" t="str">
        <f aca="false">IFERROR(INDEX(値リスト!$G$16:$G$21,MATCH(C89,値リスト!$H$16:$H$21,0)),"")</f>
        <v>midnight</v>
      </c>
      <c r="E89" s="13" t="n">
        <v>0.12</v>
      </c>
      <c r="F89" s="13" t="n">
        <v>1</v>
      </c>
      <c r="G89" s="13"/>
      <c r="H89" s="12" t="s">
        <v>1039</v>
      </c>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3" t="s">
        <v>482</v>
      </c>
      <c r="B90" s="13" t="s">
        <v>287</v>
      </c>
      <c r="C90" s="98" t="s">
        <v>108</v>
      </c>
      <c r="D90" s="101" t="str">
        <f aca="false">IFERROR(INDEX(値リスト!$G$16:$G$21,MATCH(C90,値リスト!$H$16:$H$21,0)),"")</f>
        <v>night</v>
      </c>
      <c r="E90" s="13" t="n">
        <v>0.08</v>
      </c>
      <c r="F90" s="13" t="n">
        <v>1</v>
      </c>
      <c r="G90" s="13"/>
      <c r="H90" s="12"/>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3" t="s">
        <v>486</v>
      </c>
      <c r="B91" s="13" t="s">
        <v>271</v>
      </c>
      <c r="C91" s="98" t="s">
        <v>84</v>
      </c>
      <c r="D91" s="101" t="str">
        <f aca="false">IFERROR(INDEX(値リスト!$G$16:$G$21,MATCH(C91,値リスト!$H$16:$H$21,0)),"")</f>
        <v>dawn</v>
      </c>
      <c r="E91" s="13" t="n">
        <v>0.06</v>
      </c>
      <c r="F91" s="13" t="n">
        <v>1</v>
      </c>
      <c r="G91" s="13"/>
      <c r="H91" s="12" t="s">
        <v>1040</v>
      </c>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3" t="s">
        <v>486</v>
      </c>
      <c r="B92" s="13" t="s">
        <v>232</v>
      </c>
      <c r="C92" s="98" t="s">
        <v>84</v>
      </c>
      <c r="D92" s="101" t="str">
        <f aca="false">IFERROR(INDEX(値リスト!$G$16:$G$21,MATCH(C92,値リスト!$H$16:$H$21,0)),"")</f>
        <v>dawn</v>
      </c>
      <c r="E92" s="13" t="n">
        <v>0.03</v>
      </c>
      <c r="F92" s="13" t="n">
        <v>1</v>
      </c>
      <c r="G92" s="14" t="s">
        <v>1041</v>
      </c>
      <c r="H92" s="12" t="s">
        <v>1042</v>
      </c>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3" t="s">
        <v>490</v>
      </c>
      <c r="B93" s="13" t="s">
        <v>271</v>
      </c>
      <c r="C93" s="98" t="s">
        <v>96</v>
      </c>
      <c r="D93" s="101" t="str">
        <f aca="false">IFERROR(INDEX(値リスト!$G$16:$G$21,MATCH(C93,値リスト!$H$16:$H$21,0)),"")</f>
        <v>noon</v>
      </c>
      <c r="E93" s="13" t="n">
        <v>0.6</v>
      </c>
      <c r="F93" s="13" t="n">
        <v>1</v>
      </c>
      <c r="G93" s="13"/>
      <c r="H93" s="12"/>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3" t="s">
        <v>490</v>
      </c>
      <c r="B94" s="13" t="s">
        <v>271</v>
      </c>
      <c r="C94" s="98" t="s">
        <v>114</v>
      </c>
      <c r="D94" s="101" t="str">
        <f aca="false">IFERROR(INDEX(値リスト!$G$16:$G$21,MATCH(C94,値リスト!$H$16:$H$21,0)),"")</f>
        <v>midnight</v>
      </c>
      <c r="E94" s="13" t="n">
        <v>0.45</v>
      </c>
      <c r="F94" s="13" t="n">
        <v>1</v>
      </c>
      <c r="G94" s="13"/>
      <c r="H94" s="12"/>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3" t="s">
        <v>494</v>
      </c>
      <c r="B95" s="13" t="s">
        <v>212</v>
      </c>
      <c r="C95" s="98" t="s">
        <v>96</v>
      </c>
      <c r="D95" s="101" t="str">
        <f aca="false">IFERROR(INDEX(値リスト!$G$16:$G$21,MATCH(C95,値リスト!$H$16:$H$21,0)),"")</f>
        <v>noon</v>
      </c>
      <c r="E95" s="13" t="n">
        <v>0.65</v>
      </c>
      <c r="F95" s="13" t="n">
        <v>1</v>
      </c>
      <c r="G95" s="13"/>
      <c r="H95" s="12" t="s">
        <v>1043</v>
      </c>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3" t="s">
        <v>494</v>
      </c>
      <c r="B96" s="13" t="s">
        <v>224</v>
      </c>
      <c r="C96" s="98" t="s">
        <v>102</v>
      </c>
      <c r="D96" s="101" t="str">
        <f aca="false">IFERROR(INDEX(値リスト!$G$16:$G$21,MATCH(C96,値リスト!$H$16:$H$21,0)),"")</f>
        <v>afternoon</v>
      </c>
      <c r="E96" s="13" t="n">
        <v>0.5</v>
      </c>
      <c r="F96" s="13" t="n">
        <v>1</v>
      </c>
      <c r="G96" s="13"/>
      <c r="H96" s="12"/>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3" t="s">
        <v>494</v>
      </c>
      <c r="B97" s="13" t="s">
        <v>172</v>
      </c>
      <c r="C97" s="98" t="s">
        <v>102</v>
      </c>
      <c r="D97" s="101" t="str">
        <f aca="false">IFERROR(INDEX(値リスト!$G$16:$G$21,MATCH(C97,値リスト!$H$16:$H$21,0)),"")</f>
        <v>afternoon</v>
      </c>
      <c r="E97" s="13" t="n">
        <v>0.35</v>
      </c>
      <c r="F97" s="13" t="n">
        <v>1</v>
      </c>
      <c r="G97" s="14" t="s">
        <v>1011</v>
      </c>
      <c r="H97" s="12"/>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3" t="s">
        <v>498</v>
      </c>
      <c r="B98" s="13" t="s">
        <v>164</v>
      </c>
      <c r="C98" s="98" t="s">
        <v>84</v>
      </c>
      <c r="D98" s="101" t="str">
        <f aca="false">IFERROR(INDEX(値リスト!$G$16:$G$21,MATCH(C98,値リスト!$H$16:$H$21,0)),"")</f>
        <v>dawn</v>
      </c>
      <c r="E98" s="13" t="n">
        <v>0.7</v>
      </c>
      <c r="F98" s="13" t="n">
        <v>1</v>
      </c>
      <c r="G98" s="13"/>
      <c r="H98" s="12" t="s">
        <v>1044</v>
      </c>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3" t="s">
        <v>498</v>
      </c>
      <c r="B99" s="13" t="s">
        <v>196</v>
      </c>
      <c r="C99" s="98" t="s">
        <v>84</v>
      </c>
      <c r="D99" s="101" t="str">
        <f aca="false">IFERROR(INDEX(値リスト!$G$16:$G$21,MATCH(C99,値リスト!$H$16:$H$21,0)),"")</f>
        <v>dawn</v>
      </c>
      <c r="E99" s="13" t="n">
        <v>0.55</v>
      </c>
      <c r="F99" s="13" t="n">
        <v>1</v>
      </c>
      <c r="G99" s="13"/>
      <c r="H99" s="12"/>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3" t="s">
        <v>498</v>
      </c>
      <c r="B100" s="13" t="s">
        <v>240</v>
      </c>
      <c r="C100" s="98" t="s">
        <v>84</v>
      </c>
      <c r="D100" s="101" t="str">
        <f aca="false">IFERROR(INDEX(値リスト!$G$16:$G$21,MATCH(C100,値リスト!$H$16:$H$21,0)),"")</f>
        <v>dawn</v>
      </c>
      <c r="E100" s="13" t="n">
        <v>0.4</v>
      </c>
      <c r="F100" s="13" t="n">
        <v>1</v>
      </c>
      <c r="G100" s="13"/>
      <c r="H100" s="12"/>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3" t="s">
        <v>502</v>
      </c>
      <c r="B101" s="13" t="s">
        <v>279</v>
      </c>
      <c r="C101" s="98" t="s">
        <v>90</v>
      </c>
      <c r="D101" s="101" t="str">
        <f aca="false">IFERROR(INDEX(値リスト!$G$16:$G$21,MATCH(C101,値リスト!$H$16:$H$21,0)),"")</f>
        <v>morning</v>
      </c>
      <c r="E101" s="13" t="n">
        <v>0.45</v>
      </c>
      <c r="F101" s="13" t="n">
        <v>1</v>
      </c>
      <c r="G101" s="13"/>
      <c r="H101" s="12" t="s">
        <v>1045</v>
      </c>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3" t="s">
        <v>502</v>
      </c>
      <c r="B102" s="13" t="s">
        <v>232</v>
      </c>
      <c r="C102" s="98" t="s">
        <v>96</v>
      </c>
      <c r="D102" s="101" t="str">
        <f aca="false">IFERROR(INDEX(値リスト!$G$16:$G$21,MATCH(C102,値リスト!$H$16:$H$21,0)),"")</f>
        <v>noon</v>
      </c>
      <c r="E102" s="13" t="n">
        <v>0.32</v>
      </c>
      <c r="F102" s="13" t="n">
        <v>1</v>
      </c>
      <c r="G102" s="13"/>
      <c r="H102" s="12"/>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3" t="s">
        <v>506</v>
      </c>
      <c r="B103" s="13" t="s">
        <v>236</v>
      </c>
      <c r="C103" s="98" t="s">
        <v>84</v>
      </c>
      <c r="D103" s="101" t="str">
        <f aca="false">IFERROR(INDEX(値リスト!$G$16:$G$21,MATCH(C103,値リスト!$H$16:$H$21,0)),"")</f>
        <v>dawn</v>
      </c>
      <c r="E103" s="13" t="n">
        <v>0.5</v>
      </c>
      <c r="F103" s="13" t="n">
        <v>1</v>
      </c>
      <c r="G103" s="14" t="s">
        <v>1046</v>
      </c>
      <c r="H103" s="12" t="s">
        <v>1047</v>
      </c>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3" t="s">
        <v>506</v>
      </c>
      <c r="B104" s="13" t="s">
        <v>236</v>
      </c>
      <c r="C104" s="98" t="s">
        <v>90</v>
      </c>
      <c r="D104" s="101" t="str">
        <f aca="false">IFERROR(INDEX(値リスト!$G$16:$G$21,MATCH(C104,値リスト!$H$16:$H$21,0)),"")</f>
        <v>morning</v>
      </c>
      <c r="E104" s="13" t="n">
        <v>0.38</v>
      </c>
      <c r="F104" s="13" t="n">
        <v>1</v>
      </c>
      <c r="G104" s="14" t="s">
        <v>1046</v>
      </c>
      <c r="H104" s="12"/>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3" t="s">
        <v>510</v>
      </c>
      <c r="B105" s="13" t="s">
        <v>298</v>
      </c>
      <c r="C105" s="98" t="s">
        <v>96</v>
      </c>
      <c r="D105" s="101" t="str">
        <f aca="false">IFERROR(INDEX(値リスト!$G$16:$G$21,MATCH(C105,値リスト!$H$16:$H$21,0)),"")</f>
        <v>noon</v>
      </c>
      <c r="E105" s="13" t="n">
        <v>0.6</v>
      </c>
      <c r="F105" s="13" t="n">
        <v>1</v>
      </c>
      <c r="G105" s="13"/>
      <c r="H105" s="12" t="s">
        <v>1048</v>
      </c>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3" t="s">
        <v>510</v>
      </c>
      <c r="B106" s="13" t="s">
        <v>298</v>
      </c>
      <c r="C106" s="98" t="s">
        <v>108</v>
      </c>
      <c r="D106" s="101" t="str">
        <f aca="false">IFERROR(INDEX(値リスト!$G$16:$G$21,MATCH(C106,値リスト!$H$16:$H$21,0)),"")</f>
        <v>night</v>
      </c>
      <c r="E106" s="13" t="n">
        <v>0.42</v>
      </c>
      <c r="F106" s="13" t="n">
        <v>1</v>
      </c>
      <c r="G106" s="13"/>
      <c r="H106" s="12"/>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3" t="s">
        <v>514</v>
      </c>
      <c r="B107" s="13" t="s">
        <v>302</v>
      </c>
      <c r="C107" s="98" t="s">
        <v>90</v>
      </c>
      <c r="D107" s="101" t="str">
        <f aca="false">IFERROR(INDEX(値リスト!$G$16:$G$21,MATCH(C107,値リスト!$H$16:$H$21,0)),"")</f>
        <v>morning</v>
      </c>
      <c r="E107" s="13" t="n">
        <v>0.55</v>
      </c>
      <c r="F107" s="13" t="n">
        <v>1</v>
      </c>
      <c r="G107" s="13"/>
      <c r="H107" s="12" t="s">
        <v>1049</v>
      </c>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3" t="s">
        <v>514</v>
      </c>
      <c r="B108" s="13" t="s">
        <v>302</v>
      </c>
      <c r="C108" s="98" t="s">
        <v>102</v>
      </c>
      <c r="D108" s="101" t="str">
        <f aca="false">IFERROR(INDEX(値リスト!$G$16:$G$21,MATCH(C108,値リスト!$H$16:$H$21,0)),"")</f>
        <v>afternoon</v>
      </c>
      <c r="E108" s="13" t="n">
        <v>0.42</v>
      </c>
      <c r="F108" s="13" t="n">
        <v>1</v>
      </c>
      <c r="G108" s="13"/>
      <c r="H108" s="12"/>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3" t="s">
        <v>518</v>
      </c>
      <c r="B109" s="13" t="s">
        <v>291</v>
      </c>
      <c r="C109" s="98" t="s">
        <v>96</v>
      </c>
      <c r="D109" s="101" t="str">
        <f aca="false">IFERROR(INDEX(値リスト!$G$16:$G$21,MATCH(C109,値リスト!$H$16:$H$21,0)),"")</f>
        <v>noon</v>
      </c>
      <c r="E109" s="13" t="n">
        <v>0.55</v>
      </c>
      <c r="F109" s="13" t="n">
        <v>1</v>
      </c>
      <c r="G109" s="13"/>
      <c r="H109" s="12"/>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3" t="s">
        <v>518</v>
      </c>
      <c r="B110" s="13" t="s">
        <v>283</v>
      </c>
      <c r="C110" s="98" t="s">
        <v>90</v>
      </c>
      <c r="D110" s="101" t="str">
        <f aca="false">IFERROR(INDEX(値リスト!$G$16:$G$21,MATCH(C110,値リスト!$H$16:$H$21,0)),"")</f>
        <v>morning</v>
      </c>
      <c r="E110" s="13" t="n">
        <v>0.42</v>
      </c>
      <c r="F110" s="13" t="n">
        <v>1</v>
      </c>
      <c r="G110" s="13"/>
      <c r="H110" s="12"/>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3" t="s">
        <v>522</v>
      </c>
      <c r="B111" s="13" t="s">
        <v>184</v>
      </c>
      <c r="C111" s="98" t="s">
        <v>102</v>
      </c>
      <c r="D111" s="101" t="str">
        <f aca="false">IFERROR(INDEX(値リスト!$G$16:$G$21,MATCH(C111,値リスト!$H$16:$H$21,0)),"")</f>
        <v>afternoon</v>
      </c>
      <c r="E111" s="13" t="n">
        <v>0.5</v>
      </c>
      <c r="F111" s="13" t="n">
        <v>1</v>
      </c>
      <c r="G111" s="14" t="s">
        <v>1011</v>
      </c>
      <c r="H111" s="12" t="s">
        <v>1050</v>
      </c>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3" t="s">
        <v>522</v>
      </c>
      <c r="B112" s="13" t="s">
        <v>184</v>
      </c>
      <c r="C112" s="98" t="s">
        <v>90</v>
      </c>
      <c r="D112" s="101" t="str">
        <f aca="false">IFERROR(INDEX(値リスト!$G$16:$G$21,MATCH(C112,値リスト!$H$16:$H$21,0)),"")</f>
        <v>morning</v>
      </c>
      <c r="E112" s="13" t="n">
        <v>0.32</v>
      </c>
      <c r="F112" s="13" t="n">
        <v>1</v>
      </c>
      <c r="G112" s="14" t="s">
        <v>1011</v>
      </c>
      <c r="H112" s="12"/>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3" t="s">
        <v>526</v>
      </c>
      <c r="B113" s="13" t="s">
        <v>260</v>
      </c>
      <c r="C113" s="98" t="s">
        <v>96</v>
      </c>
      <c r="D113" s="101" t="str">
        <f aca="false">IFERROR(INDEX(値リスト!$G$16:$G$21,MATCH(C113,値リスト!$H$16:$H$21,0)),"")</f>
        <v>noon</v>
      </c>
      <c r="E113" s="13" t="n">
        <v>0.45</v>
      </c>
      <c r="F113" s="13" t="n">
        <v>1</v>
      </c>
      <c r="G113" s="13"/>
      <c r="H113" s="12" t="s">
        <v>1051</v>
      </c>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3" t="s">
        <v>526</v>
      </c>
      <c r="B114" s="13" t="s">
        <v>275</v>
      </c>
      <c r="C114" s="98" t="s">
        <v>108</v>
      </c>
      <c r="D114" s="101" t="str">
        <f aca="false">IFERROR(INDEX(値リスト!$G$16:$G$21,MATCH(C114,値リスト!$H$16:$H$21,0)),"")</f>
        <v>night</v>
      </c>
      <c r="E114" s="13" t="n">
        <v>0.25</v>
      </c>
      <c r="F114" s="13" t="n">
        <v>1</v>
      </c>
      <c r="G114" s="13"/>
      <c r="H114" s="12" t="s">
        <v>1052</v>
      </c>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3" t="s">
        <v>533</v>
      </c>
      <c r="B115" s="13" t="s">
        <v>200</v>
      </c>
      <c r="C115" s="98" t="s">
        <v>90</v>
      </c>
      <c r="D115" s="101" t="str">
        <f aca="false">IFERROR(INDEX(値リスト!$G$16:$G$21,MATCH(C115,値リスト!$H$16:$H$21,0)),"")</f>
        <v>morning</v>
      </c>
      <c r="E115" s="13" t="n">
        <v>0.38</v>
      </c>
      <c r="F115" s="13" t="n">
        <v>1</v>
      </c>
      <c r="G115" s="13"/>
      <c r="H115" s="12"/>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3" t="s">
        <v>533</v>
      </c>
      <c r="B116" s="13" t="s">
        <v>264</v>
      </c>
      <c r="C116" s="98" t="s">
        <v>96</v>
      </c>
      <c r="D116" s="101" t="str">
        <f aca="false">IFERROR(INDEX(値リスト!$G$16:$G$21,MATCH(C116,値リスト!$H$16:$H$21,0)),"")</f>
        <v>noon</v>
      </c>
      <c r="E116" s="13" t="n">
        <v>0.3</v>
      </c>
      <c r="F116" s="13" t="n">
        <v>1</v>
      </c>
      <c r="G116" s="13"/>
      <c r="H116" s="12"/>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3" t="s">
        <v>533</v>
      </c>
      <c r="B117" s="13" t="s">
        <v>204</v>
      </c>
      <c r="C117" s="98" t="s">
        <v>96</v>
      </c>
      <c r="D117" s="101" t="str">
        <f aca="false">IFERROR(INDEX(値リスト!$G$16:$G$21,MATCH(C117,値リスト!$H$16:$H$21,0)),"")</f>
        <v>noon</v>
      </c>
      <c r="E117" s="13" t="n">
        <v>0.25</v>
      </c>
      <c r="F117" s="13" t="n">
        <v>1</v>
      </c>
      <c r="G117" s="13"/>
      <c r="H117" s="12"/>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3" t="s">
        <v>537</v>
      </c>
      <c r="B118" s="13" t="s">
        <v>164</v>
      </c>
      <c r="C118" s="98" t="s">
        <v>108</v>
      </c>
      <c r="D118" s="101" t="str">
        <f aca="false">IFERROR(INDEX(値リスト!$G$16:$G$21,MATCH(C118,値リスト!$H$16:$H$21,0)),"")</f>
        <v>night</v>
      </c>
      <c r="E118" s="13" t="n">
        <v>0.42</v>
      </c>
      <c r="F118" s="13" t="n">
        <v>1</v>
      </c>
      <c r="G118" s="13"/>
      <c r="H118" s="12"/>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3" t="s">
        <v>537</v>
      </c>
      <c r="B119" s="13" t="s">
        <v>295</v>
      </c>
      <c r="C119" s="98" t="s">
        <v>108</v>
      </c>
      <c r="D119" s="101" t="str">
        <f aca="false">IFERROR(INDEX(値リスト!$G$16:$G$21,MATCH(C119,値リスト!$H$16:$H$21,0)),"")</f>
        <v>night</v>
      </c>
      <c r="E119" s="13" t="n">
        <v>0.32</v>
      </c>
      <c r="F119" s="13" t="n">
        <v>1</v>
      </c>
      <c r="G119" s="13"/>
      <c r="H119" s="12"/>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3" t="s">
        <v>537</v>
      </c>
      <c r="B120" s="13" t="s">
        <v>168</v>
      </c>
      <c r="C120" s="98" t="s">
        <v>114</v>
      </c>
      <c r="D120" s="101" t="str">
        <f aca="false">IFERROR(INDEX(値リスト!$G$16:$G$21,MATCH(C120,値リスト!$H$16:$H$21,0)),"")</f>
        <v>midnight</v>
      </c>
      <c r="E120" s="13" t="n">
        <v>0.25</v>
      </c>
      <c r="F120" s="13" t="n">
        <v>1</v>
      </c>
      <c r="G120" s="13"/>
      <c r="H120" s="12"/>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3" t="s">
        <v>541</v>
      </c>
      <c r="B121" s="13" t="s">
        <v>200</v>
      </c>
      <c r="C121" s="98" t="s">
        <v>108</v>
      </c>
      <c r="D121" s="101" t="str">
        <f aca="false">IFERROR(INDEX(値リスト!$G$16:$G$21,MATCH(C121,値リスト!$H$16:$H$21,0)),"")</f>
        <v>night</v>
      </c>
      <c r="E121" s="13" t="n">
        <v>0.16</v>
      </c>
      <c r="F121" s="13" t="n">
        <v>1</v>
      </c>
      <c r="G121" s="13"/>
      <c r="H121" s="12" t="s">
        <v>1053</v>
      </c>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3" t="s">
        <v>541</v>
      </c>
      <c r="B122" s="13" t="s">
        <v>264</v>
      </c>
      <c r="C122" s="98" t="s">
        <v>108</v>
      </c>
      <c r="D122" s="101" t="str">
        <f aca="false">IFERROR(INDEX(値リスト!$G$16:$G$21,MATCH(C122,値リスト!$H$16:$H$21,0)),"")</f>
        <v>night</v>
      </c>
      <c r="E122" s="13" t="n">
        <v>0.11</v>
      </c>
      <c r="F122" s="13" t="n">
        <v>1</v>
      </c>
      <c r="G122" s="13"/>
      <c r="H122" s="12"/>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3" t="s">
        <v>545</v>
      </c>
      <c r="B123" s="13" t="s">
        <v>220</v>
      </c>
      <c r="C123" s="98" t="s">
        <v>108</v>
      </c>
      <c r="D123" s="101" t="str">
        <f aca="false">IFERROR(INDEX(値リスト!$G$16:$G$21,MATCH(C123,値リスト!$H$16:$H$21,0)),"")</f>
        <v>night</v>
      </c>
      <c r="E123" s="13" t="n">
        <v>0.5</v>
      </c>
      <c r="F123" s="13" t="n">
        <v>1</v>
      </c>
      <c r="G123" s="13"/>
      <c r="H123" s="12"/>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3" t="s">
        <v>545</v>
      </c>
      <c r="B124" s="13" t="s">
        <v>212</v>
      </c>
      <c r="C124" s="98" t="s">
        <v>84</v>
      </c>
      <c r="D124" s="101" t="str">
        <f aca="false">IFERROR(INDEX(値リスト!$G$16:$G$21,MATCH(C124,値リスト!$H$16:$H$21,0)),"")</f>
        <v>dawn</v>
      </c>
      <c r="E124" s="13" t="n">
        <v>0.38</v>
      </c>
      <c r="F124" s="13" t="n">
        <v>1</v>
      </c>
      <c r="G124" s="13"/>
      <c r="H124" s="12"/>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3" t="s">
        <v>545</v>
      </c>
      <c r="B125" s="13" t="s">
        <v>204</v>
      </c>
      <c r="C125" s="98" t="s">
        <v>108</v>
      </c>
      <c r="D125" s="101" t="str">
        <f aca="false">IFERROR(INDEX(値リスト!$G$16:$G$21,MATCH(C125,値リスト!$H$16:$H$21,0)),"")</f>
        <v>night</v>
      </c>
      <c r="E125" s="13" t="n">
        <v>0.28</v>
      </c>
      <c r="F125" s="13" t="n">
        <v>1</v>
      </c>
      <c r="G125" s="13"/>
      <c r="H125" s="12"/>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3" t="s">
        <v>549</v>
      </c>
      <c r="B126" s="13" t="s">
        <v>196</v>
      </c>
      <c r="C126" s="98" t="s">
        <v>114</v>
      </c>
      <c r="D126" s="101" t="str">
        <f aca="false">IFERROR(INDEX(値リスト!$G$16:$G$21,MATCH(C126,値リスト!$H$16:$H$21,0)),"")</f>
        <v>midnight</v>
      </c>
      <c r="E126" s="13" t="n">
        <v>0.16</v>
      </c>
      <c r="F126" s="13" t="n">
        <v>1</v>
      </c>
      <c r="G126" s="13"/>
      <c r="H126" s="12" t="s">
        <v>1054</v>
      </c>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3" t="s">
        <v>549</v>
      </c>
      <c r="B127" s="13" t="s">
        <v>168</v>
      </c>
      <c r="C127" s="98" t="s">
        <v>108</v>
      </c>
      <c r="D127" s="101" t="str">
        <f aca="false">IFERROR(INDEX(値リスト!$G$16:$G$21,MATCH(C127,値リスト!$H$16:$H$21,0)),"")</f>
        <v>night</v>
      </c>
      <c r="E127" s="13" t="n">
        <v>0.1</v>
      </c>
      <c r="F127" s="13" t="n">
        <v>1</v>
      </c>
      <c r="G127" s="13"/>
      <c r="H127" s="12"/>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3" t="s">
        <v>553</v>
      </c>
      <c r="B128" s="13" t="s">
        <v>208</v>
      </c>
      <c r="C128" s="98" t="s">
        <v>96</v>
      </c>
      <c r="D128" s="101" t="str">
        <f aca="false">IFERROR(INDEX(値リスト!$G$16:$G$21,MATCH(C128,値リスト!$H$16:$H$21,0)),"")</f>
        <v>noon</v>
      </c>
      <c r="E128" s="13" t="n">
        <v>0.35</v>
      </c>
      <c r="F128" s="13" t="n">
        <v>1</v>
      </c>
      <c r="G128" s="13"/>
      <c r="H128" s="12"/>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3" t="s">
        <v>553</v>
      </c>
      <c r="B129" s="13" t="s">
        <v>180</v>
      </c>
      <c r="C129" s="98" t="s">
        <v>102</v>
      </c>
      <c r="D129" s="101" t="str">
        <f aca="false">IFERROR(INDEX(値リスト!$G$16:$G$21,MATCH(C129,値リスト!$H$16:$H$21,0)),"")</f>
        <v>afternoon</v>
      </c>
      <c r="E129" s="13" t="n">
        <v>0.26</v>
      </c>
      <c r="F129" s="13" t="n">
        <v>1</v>
      </c>
      <c r="G129" s="13"/>
      <c r="H129" s="12"/>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3" t="s">
        <v>553</v>
      </c>
      <c r="B130" s="13" t="s">
        <v>172</v>
      </c>
      <c r="C130" s="98" t="s">
        <v>102</v>
      </c>
      <c r="D130" s="101" t="str">
        <f aca="false">IFERROR(INDEX(値リスト!$G$16:$G$21,MATCH(C130,値リスト!$H$16:$H$21,0)),"")</f>
        <v>afternoon</v>
      </c>
      <c r="E130" s="13" t="n">
        <v>0.22</v>
      </c>
      <c r="F130" s="13" t="n">
        <v>1</v>
      </c>
      <c r="G130" s="13"/>
      <c r="H130" s="12"/>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3" t="s">
        <v>557</v>
      </c>
      <c r="B131" s="13" t="s">
        <v>176</v>
      </c>
      <c r="C131" s="98" t="s">
        <v>96</v>
      </c>
      <c r="D131" s="101" t="str">
        <f aca="false">IFERROR(INDEX(値リスト!$G$16:$G$21,MATCH(C131,値リスト!$H$16:$H$21,0)),"")</f>
        <v>noon</v>
      </c>
      <c r="E131" s="13" t="n">
        <v>0.38</v>
      </c>
      <c r="F131" s="13" t="n">
        <v>1</v>
      </c>
      <c r="G131" s="13"/>
      <c r="H131" s="12"/>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3" t="s">
        <v>557</v>
      </c>
      <c r="B132" s="13" t="s">
        <v>248</v>
      </c>
      <c r="C132" s="98" t="s">
        <v>90</v>
      </c>
      <c r="D132" s="101" t="str">
        <f aca="false">IFERROR(INDEX(値リスト!$G$16:$G$21,MATCH(C132,値リスト!$H$16:$H$21,0)),"")</f>
        <v>morning</v>
      </c>
      <c r="E132" s="13" t="n">
        <v>0.3</v>
      </c>
      <c r="F132" s="13" t="n">
        <v>1</v>
      </c>
      <c r="G132" s="13"/>
      <c r="H132" s="12"/>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3" t="s">
        <v>557</v>
      </c>
      <c r="B133" s="13" t="s">
        <v>164</v>
      </c>
      <c r="C133" s="98" t="s">
        <v>96</v>
      </c>
      <c r="D133" s="101" t="str">
        <f aca="false">IFERROR(INDEX(値リスト!$G$16:$G$21,MATCH(C133,値リスト!$H$16:$H$21,0)),"")</f>
        <v>noon</v>
      </c>
      <c r="E133" s="13" t="n">
        <v>0.25</v>
      </c>
      <c r="F133" s="13" t="n">
        <v>1</v>
      </c>
      <c r="G133" s="13"/>
      <c r="H133" s="12"/>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3" t="s">
        <v>561</v>
      </c>
      <c r="B134" s="13" t="s">
        <v>275</v>
      </c>
      <c r="C134" s="98" t="s">
        <v>114</v>
      </c>
      <c r="D134" s="101" t="str">
        <f aca="false">IFERROR(INDEX(値リスト!$G$16:$G$21,MATCH(C134,値リスト!$H$16:$H$21,0)),"")</f>
        <v>midnight</v>
      </c>
      <c r="E134" s="13" t="n">
        <v>0.07</v>
      </c>
      <c r="F134" s="13" t="n">
        <v>1</v>
      </c>
      <c r="G134" s="13"/>
      <c r="H134" s="12" t="s">
        <v>1055</v>
      </c>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3" t="s">
        <v>561</v>
      </c>
      <c r="B135" s="13" t="s">
        <v>275</v>
      </c>
      <c r="C135" s="98" t="s">
        <v>108</v>
      </c>
      <c r="D135" s="101" t="str">
        <f aca="false">IFERROR(INDEX(値リスト!$G$16:$G$21,MATCH(C135,値リスト!$H$16:$H$21,0)),"")</f>
        <v>night</v>
      </c>
      <c r="E135" s="13" t="n">
        <v>0.04</v>
      </c>
      <c r="F135" s="13" t="n">
        <v>1</v>
      </c>
      <c r="G135" s="13"/>
      <c r="H135" s="12"/>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3" t="s">
        <v>565</v>
      </c>
      <c r="B136" s="13" t="s">
        <v>192</v>
      </c>
      <c r="C136" s="98" t="s">
        <v>108</v>
      </c>
      <c r="D136" s="101" t="str">
        <f aca="false">IFERROR(INDEX(値リスト!$G$16:$G$21,MATCH(C136,値リスト!$H$16:$H$21,0)),"")</f>
        <v>night</v>
      </c>
      <c r="E136" s="13" t="n">
        <v>0.38</v>
      </c>
      <c r="F136" s="13" t="n">
        <v>1</v>
      </c>
      <c r="G136" s="13"/>
      <c r="H136" s="12"/>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3" t="s">
        <v>565</v>
      </c>
      <c r="B137" s="13" t="s">
        <v>232</v>
      </c>
      <c r="C137" s="98" t="s">
        <v>108</v>
      </c>
      <c r="D137" s="101" t="str">
        <f aca="false">IFERROR(INDEX(値リスト!$G$16:$G$21,MATCH(C137,値リスト!$H$16:$H$21,0)),"")</f>
        <v>night</v>
      </c>
      <c r="E137" s="13" t="n">
        <v>0.28</v>
      </c>
      <c r="F137" s="13" t="n">
        <v>1</v>
      </c>
      <c r="G137" s="13"/>
      <c r="H137" s="12"/>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3" t="s">
        <v>565</v>
      </c>
      <c r="B138" s="13" t="s">
        <v>228</v>
      </c>
      <c r="C138" s="98" t="s">
        <v>108</v>
      </c>
      <c r="D138" s="101" t="str">
        <f aca="false">IFERROR(INDEX(値リスト!$G$16:$G$21,MATCH(C138,値リスト!$H$16:$H$21,0)),"")</f>
        <v>night</v>
      </c>
      <c r="E138" s="13" t="n">
        <v>0.25</v>
      </c>
      <c r="F138" s="13" t="n">
        <v>1</v>
      </c>
      <c r="G138" s="13"/>
      <c r="H138" s="12"/>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3" t="s">
        <v>569</v>
      </c>
      <c r="B139" s="13" t="s">
        <v>248</v>
      </c>
      <c r="C139" s="98" t="s">
        <v>108</v>
      </c>
      <c r="D139" s="101" t="str">
        <f aca="false">IFERROR(INDEX(値リスト!$G$16:$G$21,MATCH(C139,値リスト!$H$16:$H$21,0)),"")</f>
        <v>night</v>
      </c>
      <c r="E139" s="13" t="n">
        <v>0.14</v>
      </c>
      <c r="F139" s="13" t="n">
        <v>1</v>
      </c>
      <c r="G139" s="13"/>
      <c r="H139" s="12" t="s">
        <v>1056</v>
      </c>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3" t="s">
        <v>569</v>
      </c>
      <c r="B140" s="13" t="s">
        <v>252</v>
      </c>
      <c r="C140" s="98" t="s">
        <v>114</v>
      </c>
      <c r="D140" s="101" t="str">
        <f aca="false">IFERROR(INDEX(値リスト!$G$16:$G$21,MATCH(C140,値リスト!$H$16:$H$21,0)),"")</f>
        <v>midnight</v>
      </c>
      <c r="E140" s="13" t="n">
        <v>0.09</v>
      </c>
      <c r="F140" s="13" t="n">
        <v>1</v>
      </c>
      <c r="G140" s="13"/>
      <c r="H140" s="12"/>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3" t="s">
        <v>573</v>
      </c>
      <c r="B141" s="13" t="s">
        <v>287</v>
      </c>
      <c r="C141" s="98" t="s">
        <v>96</v>
      </c>
      <c r="D141" s="101" t="str">
        <f aca="false">IFERROR(INDEX(値リスト!$G$16:$G$21,MATCH(C141,値リスト!$H$16:$H$21,0)),"")</f>
        <v>noon</v>
      </c>
      <c r="E141" s="13" t="n">
        <v>0.14</v>
      </c>
      <c r="F141" s="13" t="n">
        <v>1</v>
      </c>
      <c r="G141" s="13"/>
      <c r="H141" s="12" t="s">
        <v>1056</v>
      </c>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3" t="s">
        <v>573</v>
      </c>
      <c r="B142" s="13" t="s">
        <v>248</v>
      </c>
      <c r="C142" s="98" t="s">
        <v>102</v>
      </c>
      <c r="D142" s="101" t="str">
        <f aca="false">IFERROR(INDEX(値リスト!$G$16:$G$21,MATCH(C142,値リスト!$H$16:$H$21,0)),"")</f>
        <v>afternoon</v>
      </c>
      <c r="E142" s="13" t="n">
        <v>0.1</v>
      </c>
      <c r="F142" s="13" t="n">
        <v>1</v>
      </c>
      <c r="G142" s="13"/>
      <c r="H142" s="12"/>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3" t="s">
        <v>699</v>
      </c>
      <c r="B143" s="13" t="s">
        <v>295</v>
      </c>
      <c r="C143" s="98" t="s">
        <v>96</v>
      </c>
      <c r="D143" s="101" t="str">
        <f aca="false">IFERROR(INDEX(値リスト!$G$16:$G$21,MATCH(C143,値リスト!$H$16:$H$21,0)),"")</f>
        <v>noon</v>
      </c>
      <c r="E143" s="13" t="n">
        <v>0.55</v>
      </c>
      <c r="F143" s="13" t="n">
        <v>1</v>
      </c>
      <c r="G143" s="13"/>
      <c r="H143" s="12" t="s">
        <v>1057</v>
      </c>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3" t="s">
        <v>699</v>
      </c>
      <c r="B144" s="13" t="s">
        <v>302</v>
      </c>
      <c r="C144" s="98" t="s">
        <v>90</v>
      </c>
      <c r="D144" s="101" t="str">
        <f aca="false">IFERROR(INDEX(値リスト!$G$16:$G$21,MATCH(C144,値リスト!$H$16:$H$21,0)),"")</f>
        <v>morning</v>
      </c>
      <c r="E144" s="13" t="n">
        <v>0.4</v>
      </c>
      <c r="F144" s="13" t="n">
        <v>1</v>
      </c>
      <c r="G144" s="13"/>
      <c r="H144" s="12"/>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3" t="s">
        <v>703</v>
      </c>
      <c r="B145" s="13" t="s">
        <v>306</v>
      </c>
      <c r="C145" s="98" t="s">
        <v>90</v>
      </c>
      <c r="D145" s="101" t="str">
        <f aca="false">IFERROR(INDEX(値リスト!$G$16:$G$21,MATCH(C145,値リスト!$H$16:$H$21,0)),"")</f>
        <v>morning</v>
      </c>
      <c r="E145" s="13" t="n">
        <v>0.3</v>
      </c>
      <c r="F145" s="13" t="n">
        <v>1</v>
      </c>
      <c r="G145" s="13"/>
      <c r="H145" s="12" t="s">
        <v>1058</v>
      </c>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3" t="s">
        <v>703</v>
      </c>
      <c r="B146" s="13" t="s">
        <v>295</v>
      </c>
      <c r="C146" s="98" t="s">
        <v>96</v>
      </c>
      <c r="D146" s="101" t="str">
        <f aca="false">IFERROR(INDEX(値リスト!$G$16:$G$21,MATCH(C146,値リスト!$H$16:$H$21,0)),"")</f>
        <v>noon</v>
      </c>
      <c r="E146" s="13" t="n">
        <v>0.22</v>
      </c>
      <c r="F146" s="13" t="n">
        <v>1</v>
      </c>
      <c r="G146" s="13"/>
      <c r="H146" s="12"/>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3" t="s">
        <v>707</v>
      </c>
      <c r="B147" s="13" t="s">
        <v>295</v>
      </c>
      <c r="C147" s="98" t="s">
        <v>96</v>
      </c>
      <c r="D147" s="101" t="str">
        <f aca="false">IFERROR(INDEX(値リスト!$G$16:$G$21,MATCH(C147,値リスト!$H$16:$H$21,0)),"")</f>
        <v>noon</v>
      </c>
      <c r="E147" s="13" t="n">
        <v>0.6</v>
      </c>
      <c r="F147" s="13" t="n">
        <v>1</v>
      </c>
      <c r="G147" s="13"/>
      <c r="H147" s="12" t="s">
        <v>1059</v>
      </c>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3" t="s">
        <v>707</v>
      </c>
      <c r="B148" s="13" t="s">
        <v>302</v>
      </c>
      <c r="C148" s="98" t="s">
        <v>102</v>
      </c>
      <c r="D148" s="101" t="str">
        <f aca="false">IFERROR(INDEX(値リスト!$G$16:$G$21,MATCH(C148,値リスト!$H$16:$H$21,0)),"")</f>
        <v>afternoon</v>
      </c>
      <c r="E148" s="13" t="n">
        <v>0.45</v>
      </c>
      <c r="F148" s="13" t="n">
        <v>1</v>
      </c>
      <c r="G148" s="13"/>
      <c r="H148" s="12"/>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3" t="s">
        <v>711</v>
      </c>
      <c r="B149" s="13" t="s">
        <v>268</v>
      </c>
      <c r="C149" s="98" t="s">
        <v>96</v>
      </c>
      <c r="D149" s="101" t="str">
        <f aca="false">IFERROR(INDEX(値リスト!$G$16:$G$21,MATCH(C149,値リスト!$H$16:$H$21,0)),"")</f>
        <v>noon</v>
      </c>
      <c r="E149" s="13" t="n">
        <v>0.28</v>
      </c>
      <c r="F149" s="13" t="n">
        <v>1</v>
      </c>
      <c r="G149" s="13"/>
      <c r="H149" s="12" t="s">
        <v>1060</v>
      </c>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3" t="s">
        <v>711</v>
      </c>
      <c r="B150" s="13" t="s">
        <v>295</v>
      </c>
      <c r="C150" s="98" t="s">
        <v>96</v>
      </c>
      <c r="D150" s="101" t="str">
        <f aca="false">IFERROR(INDEX(値リスト!$G$16:$G$21,MATCH(C150,値リスト!$H$16:$H$21,0)),"")</f>
        <v>noon</v>
      </c>
      <c r="E150" s="13" t="n">
        <v>0.22</v>
      </c>
      <c r="F150" s="13" t="n">
        <v>1</v>
      </c>
      <c r="G150" s="13"/>
      <c r="H150" s="12"/>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3" t="s">
        <v>715</v>
      </c>
      <c r="B151" s="13" t="s">
        <v>295</v>
      </c>
      <c r="C151" s="98" t="s">
        <v>114</v>
      </c>
      <c r="D151" s="101" t="str">
        <f aca="false">IFERROR(INDEX(値リスト!$G$16:$G$21,MATCH(C151,値リスト!$H$16:$H$21,0)),"")</f>
        <v>midnight</v>
      </c>
      <c r="E151" s="13" t="n">
        <v>0.06</v>
      </c>
      <c r="F151" s="13" t="n">
        <v>1</v>
      </c>
      <c r="G151" s="13"/>
      <c r="H151" s="12" t="s">
        <v>1061</v>
      </c>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3" t="s">
        <v>715</v>
      </c>
      <c r="B152" s="13" t="s">
        <v>295</v>
      </c>
      <c r="C152" s="98" t="s">
        <v>84</v>
      </c>
      <c r="D152" s="101" t="str">
        <f aca="false">IFERROR(INDEX(値リスト!$G$16:$G$21,MATCH(C152,値リスト!$H$16:$H$21,0)),"")</f>
        <v>dawn</v>
      </c>
      <c r="E152" s="13" t="n">
        <v>0.03</v>
      </c>
      <c r="F152" s="13" t="n">
        <v>1</v>
      </c>
      <c r="G152" s="14" t="s">
        <v>1041</v>
      </c>
      <c r="H152" s="12" t="s">
        <v>1062</v>
      </c>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3" t="s">
        <v>719</v>
      </c>
      <c r="B153" s="13" t="s">
        <v>295</v>
      </c>
      <c r="C153" s="98" t="s">
        <v>102</v>
      </c>
      <c r="D153" s="101" t="str">
        <f aca="false">IFERROR(INDEX(値リスト!$G$16:$G$21,MATCH(C153,値リスト!$H$16:$H$21,0)),"")</f>
        <v>afternoon</v>
      </c>
      <c r="E153" s="13" t="n">
        <v>0.32</v>
      </c>
      <c r="F153" s="13" t="n">
        <v>1</v>
      </c>
      <c r="G153" s="13"/>
      <c r="H153" s="12" t="s">
        <v>1063</v>
      </c>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3" t="s">
        <v>719</v>
      </c>
      <c r="B154" s="13" t="s">
        <v>298</v>
      </c>
      <c r="C154" s="98" t="s">
        <v>108</v>
      </c>
      <c r="D154" s="101" t="str">
        <f aca="false">IFERROR(INDEX(値リスト!$G$16:$G$21,MATCH(C154,値リスト!$H$16:$H$21,0)),"")</f>
        <v>night</v>
      </c>
      <c r="E154" s="13" t="n">
        <v>0.2</v>
      </c>
      <c r="F154" s="13" t="n">
        <v>1</v>
      </c>
      <c r="G154" s="13"/>
      <c r="H154" s="12"/>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3" t="s">
        <v>723</v>
      </c>
      <c r="B155" s="13" t="s">
        <v>302</v>
      </c>
      <c r="C155" s="98" t="s">
        <v>84</v>
      </c>
      <c r="D155" s="101" t="str">
        <f aca="false">IFERROR(INDEX(値リスト!$G$16:$G$21,MATCH(C155,値リスト!$H$16:$H$21,0)),"")</f>
        <v>dawn</v>
      </c>
      <c r="E155" s="13" t="n">
        <v>0.15</v>
      </c>
      <c r="F155" s="13" t="n">
        <v>1</v>
      </c>
      <c r="G155" s="13"/>
      <c r="H155" s="12" t="s">
        <v>1064</v>
      </c>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3" t="s">
        <v>723</v>
      </c>
      <c r="B156" s="13" t="s">
        <v>275</v>
      </c>
      <c r="C156" s="98" t="s">
        <v>114</v>
      </c>
      <c r="D156" s="101" t="str">
        <f aca="false">IFERROR(INDEX(値リスト!$G$16:$G$21,MATCH(C156,値リスト!$H$16:$H$21,0)),"")</f>
        <v>midnight</v>
      </c>
      <c r="E156" s="13" t="n">
        <v>0.1</v>
      </c>
      <c r="F156" s="13" t="n">
        <v>1</v>
      </c>
      <c r="G156" s="13"/>
      <c r="H156" s="12"/>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C157" s="105"/>
      <c r="D157" s="106" t="str">
        <f aca="false" t="array" ref="D157:D157">IFERROR(INDEX(値リスト!$G$16:$G$21,MATCH(C157,値リスト!$H$16:$H$21,0)),"")</f>
        <v/>
      </c>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C158" s="105"/>
      <c r="D158" s="106" t="str">
        <f aca="false" t="array" ref="D158:D158">IFERROR(INDEX(値リスト!$G$16:$G$21,MATCH(C158,値リスト!$H$16:$H$21,0)),"")</f>
        <v/>
      </c>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C159" s="105"/>
      <c r="D159" s="106" t="str">
        <f aca="false" t="array" ref="D159:D159">IFERROR(INDEX(値リスト!$G$16:$G$21,MATCH(C159,値リスト!$H$16:$H$21,0)),"")</f>
        <v/>
      </c>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C160" s="105"/>
      <c r="D160" s="106" t="str">
        <f aca="false" t="array" ref="D160:D160">IFERROR(INDEX(値リスト!$G$16:$G$21,MATCH(C160,値リスト!$H$16:$H$21,0)),"")</f>
        <v/>
      </c>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C161" s="105"/>
      <c r="D161" s="106" t="str">
        <f aca="false" t="array" ref="D161:D161">IFERROR(INDEX(値リスト!$G$16:$G$21,MATCH(C161,値リスト!$H$16:$H$21,0)),"")</f>
        <v/>
      </c>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C162" s="105"/>
      <c r="D162" s="106" t="str">
        <f aca="false" t="array" ref="D162:D162">IFERROR(INDEX(値リスト!$G$16:$G$21,MATCH(C162,値リスト!$H$16:$H$21,0)),"")</f>
        <v/>
      </c>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C163" s="105"/>
      <c r="D163" s="106" t="str">
        <f aca="false" t="array" ref="D163:D163">IFERROR(INDEX(値リスト!$G$16:$G$21,MATCH(C163,値リスト!$H$16:$H$21,0)),"")</f>
        <v/>
      </c>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C164" s="105"/>
      <c r="D164" s="106" t="str">
        <f aca="false" t="array" ref="D164:D164">IFERROR(INDEX(値リスト!$G$16:$G$21,MATCH(C164,値リスト!$H$16:$H$21,0)),"")</f>
        <v/>
      </c>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C165" s="105"/>
      <c r="D165" s="106" t="str">
        <f aca="false" t="array" ref="D165:D165">IFERROR(INDEX(値リスト!$G$16:$G$21,MATCH(C165,値リスト!$H$16:$H$21,0)),"")</f>
        <v/>
      </c>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C166" s="105"/>
      <c r="D166" s="106" t="str">
        <f aca="false" t="array" ref="D166:D166">IFERROR(INDEX(値リスト!$G$16:$G$21,MATCH(C166,値リスト!$H$16:$H$21,0)),"")</f>
        <v/>
      </c>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C167" s="105"/>
      <c r="D167" s="106" t="str">
        <f aca="false" t="array" ref="D167:D167">IFERROR(INDEX(値リスト!$G$16:$G$21,MATCH(C167,値リスト!$H$16:$H$21,0)),"")</f>
        <v/>
      </c>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C168" s="105"/>
      <c r="D168" s="106" t="str">
        <f aca="false" t="array" ref="D168:D168">IFERROR(INDEX(値リスト!$G$16:$G$21,MATCH(C168,値リスト!$H$16:$H$21,0)),"")</f>
        <v/>
      </c>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C169" s="105"/>
      <c r="D169" s="106" t="str">
        <f aca="false" t="array" ref="D169:D169">IFERROR(INDEX(値リスト!$G$16:$G$21,MATCH(C169,値リスト!$H$16:$H$21,0)),"")</f>
        <v/>
      </c>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C170" s="105"/>
      <c r="D170" s="106" t="str">
        <f aca="false" t="array" ref="D170:D170">IFERROR(INDEX(値リスト!$G$16:$G$21,MATCH(C170,値リスト!$H$16:$H$21,0)),"")</f>
        <v/>
      </c>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C171" s="105"/>
      <c r="D171" s="106" t="str">
        <f aca="false" t="array" ref="D171:D171">IFERROR(INDEX(値リスト!$G$16:$G$21,MATCH(C171,値リスト!$H$16:$H$21,0)),"")</f>
        <v/>
      </c>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C172" s="105"/>
      <c r="D172" s="106" t="str">
        <f aca="false" t="array" ref="D172:D172">IFERROR(INDEX(値リスト!$G$16:$G$21,MATCH(C172,値リスト!$H$16:$H$21,0)),"")</f>
        <v/>
      </c>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C173" s="105"/>
      <c r="D173" s="106" t="str">
        <f aca="false" t="array" ref="D173:D173">IFERROR(INDEX(値リスト!$G$16:$G$21,MATCH(C173,値リスト!$H$16:$H$21,0)),"")</f>
        <v/>
      </c>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C174" s="105"/>
      <c r="D174" s="106" t="str">
        <f aca="false" t="array" ref="D174:D174">IFERROR(INDEX(値リスト!$G$16:$G$21,MATCH(C174,値リスト!$H$16:$H$21,0)),"")</f>
        <v/>
      </c>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C175" s="105"/>
      <c r="D175" s="106" t="str">
        <f aca="false" t="array" ref="D175:D175">IFERROR(INDEX(値リスト!$G$16:$G$21,MATCH(C175,値リスト!$H$16:$H$21,0)),"")</f>
        <v/>
      </c>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C176" s="105"/>
      <c r="D176" s="106" t="str">
        <f aca="false" t="array" ref="D176:D176">IFERROR(INDEX(値リスト!$G$16:$G$21,MATCH(C176,値リスト!$H$16:$H$21,0)),"")</f>
        <v/>
      </c>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C177" s="105"/>
      <c r="D177" s="106" t="str">
        <f aca="false" t="array" ref="D177:D177">IFERROR(INDEX(値リスト!$G$16:$G$21,MATCH(C177,値リスト!$H$16:$H$21,0)),"")</f>
        <v/>
      </c>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C178" s="105"/>
      <c r="D178" s="106" t="str">
        <f aca="false" t="array" ref="D178:D178">IFERROR(INDEX(値リスト!$G$16:$G$21,MATCH(C178,値リスト!$H$16:$H$21,0)),"")</f>
        <v/>
      </c>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C179" s="105"/>
      <c r="D179" s="106" t="str">
        <f aca="false" t="array" ref="D179:D179">IFERROR(INDEX(値リスト!$G$16:$G$21,MATCH(C179,値リスト!$H$16:$H$21,0)),"")</f>
        <v/>
      </c>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C180" s="105"/>
      <c r="D180" s="106" t="str">
        <f aca="false" t="array" ref="D180:D180">IFERROR(INDEX(値リスト!$G$16:$G$21,MATCH(C180,値リスト!$H$16:$H$21,0)),"")</f>
        <v/>
      </c>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C181" s="105"/>
      <c r="D181" s="106" t="str">
        <f aca="false" t="array" ref="D181:D181">IFERROR(INDEX(値リスト!$G$16:$G$21,MATCH(C181,値リスト!$H$16:$H$21,0)),"")</f>
        <v/>
      </c>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C182" s="105"/>
      <c r="D182" s="106" t="str">
        <f aca="false" t="array" ref="D182:D182">IFERROR(INDEX(値リスト!$G$16:$G$21,MATCH(C182,値リスト!$H$16:$H$21,0)),"")</f>
        <v/>
      </c>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C183" s="105"/>
      <c r="D183" s="106" t="str">
        <f aca="false" t="array" ref="D183:D183">IFERROR(INDEX(値リスト!$G$16:$G$21,MATCH(C183,値リスト!$H$16:$H$21,0)),"")</f>
        <v/>
      </c>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C184" s="105"/>
      <c r="D184" s="106" t="str">
        <f aca="false" t="array" ref="D184:D184">IFERROR(INDEX(値リスト!$G$16:$G$21,MATCH(C184,値リスト!$H$16:$H$21,0)),"")</f>
        <v/>
      </c>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C185" s="105"/>
      <c r="D185" s="106" t="str">
        <f aca="false" t="array" ref="D185:D185">IFERROR(INDEX(値リスト!$G$16:$G$21,MATCH(C185,値リスト!$H$16:$H$21,0)),"")</f>
        <v/>
      </c>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C186" s="105"/>
      <c r="D186" s="106" t="str">
        <f aca="false" t="array" ref="D186:D186">IFERROR(INDEX(値リスト!$G$16:$G$21,MATCH(C186,値リスト!$H$16:$H$21,0)),"")</f>
        <v/>
      </c>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C187" s="105"/>
      <c r="D187" s="106" t="str">
        <f aca="false" t="array" ref="D187:D187">IFERROR(INDEX(値リスト!$G$16:$G$21,MATCH(C187,値リスト!$H$16:$H$21,0)),"")</f>
        <v/>
      </c>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C188" s="105"/>
      <c r="D188" s="106" t="str">
        <f aca="false" t="array" ref="D188:D188">IFERROR(INDEX(値リスト!$G$16:$G$21,MATCH(C188,値リスト!$H$16:$H$21,0)),"")</f>
        <v/>
      </c>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C189" s="105"/>
      <c r="D189" s="106" t="str">
        <f aca="false" t="array" ref="D189:D189">IFERROR(INDEX(値リスト!$G$16:$G$21,MATCH(C189,値リスト!$H$16:$H$21,0)),"")</f>
        <v/>
      </c>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C190" s="105"/>
      <c r="D190" s="106" t="str">
        <f aca="false" t="array" ref="D190:D190">IFERROR(INDEX(値リスト!$G$16:$G$21,MATCH(C190,値リスト!$H$16:$H$21,0)),"")</f>
        <v/>
      </c>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C191" s="105"/>
      <c r="D191" s="106" t="str">
        <f aca="false" t="array" ref="D191:D191">IFERROR(INDEX(値リスト!$G$16:$G$21,MATCH(C191,値リスト!$H$16:$H$21,0)),"")</f>
        <v/>
      </c>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C192" s="105"/>
      <c r="D192" s="106" t="str">
        <f aca="false" t="array" ref="D192:D192">IFERROR(INDEX(値リスト!$G$16:$G$21,MATCH(C192,値リスト!$H$16:$H$21,0)),"")</f>
        <v/>
      </c>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C193" s="105"/>
      <c r="D193" s="106" t="str">
        <f aca="false" t="array" ref="D193:D193">IFERROR(INDEX(値リスト!$G$16:$G$21,MATCH(C193,値リスト!$H$16:$H$21,0)),"")</f>
        <v/>
      </c>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C194" s="105"/>
      <c r="D194" s="106" t="str">
        <f aca="false" t="array" ref="D194:D194">IFERROR(INDEX(値リスト!$G$16:$G$21,MATCH(C194,値リスト!$H$16:$H$21,0)),"")</f>
        <v/>
      </c>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C195" s="105"/>
      <c r="D195" s="106" t="str">
        <f aca="false" t="array" ref="D195:D195">IFERROR(INDEX(値リスト!$G$16:$G$21,MATCH(C195,値リスト!$H$16:$H$21,0)),"")</f>
        <v/>
      </c>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C196" s="105"/>
      <c r="D196" s="106" t="str">
        <f aca="false" t="array" ref="D196:D196">IFERROR(INDEX(値リスト!$G$16:$G$21,MATCH(C196,値リスト!$H$16:$H$21,0)),"")</f>
        <v/>
      </c>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C197" s="105"/>
      <c r="D197" s="106" t="str">
        <f aca="false" t="array" ref="D197:D197">IFERROR(INDEX(値リスト!$G$16:$G$21,MATCH(C197,値リスト!$H$16:$H$21,0)),"")</f>
        <v/>
      </c>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C198" s="105"/>
      <c r="D198" s="106" t="str">
        <f aca="false" t="array" ref="D198:D198">IFERROR(INDEX(値リスト!$G$16:$G$21,MATCH(C198,値リスト!$H$16:$H$21,0)),"")</f>
        <v/>
      </c>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C199" s="105"/>
      <c r="D199" s="106" t="str">
        <f aca="false" t="array" ref="D199:D199">IFERROR(INDEX(値リスト!$G$16:$G$21,MATCH(C199,値リスト!$H$16:$H$21,0)),"")</f>
        <v/>
      </c>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C200" s="105"/>
      <c r="D200" s="106" t="str">
        <f aca="false" t="array" ref="D200:D200">IFERROR(INDEX(値リスト!$G$16:$G$21,MATCH(C200,値リスト!$H$16:$H$21,0)),"")</f>
        <v/>
      </c>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3"/>
      <c r="B201" s="13"/>
      <c r="C201" s="98"/>
      <c r="D201" s="101"/>
      <c r="E201" s="13"/>
      <c r="F201" s="13"/>
      <c r="G201" s="13"/>
      <c r="H201" s="12"/>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3"/>
      <c r="B202" s="13"/>
      <c r="C202" s="98"/>
      <c r="D202" s="101"/>
      <c r="E202" s="13"/>
      <c r="F202" s="13"/>
      <c r="G202" s="13"/>
      <c r="H202" s="9"/>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3"/>
      <c r="B203" s="13"/>
      <c r="C203" s="98"/>
      <c r="D203" s="101"/>
      <c r="E203" s="13"/>
      <c r="F203" s="13"/>
      <c r="G203" s="13"/>
      <c r="H203" s="12"/>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3"/>
      <c r="B204" s="13"/>
      <c r="C204" s="98"/>
      <c r="D204" s="101"/>
      <c r="E204" s="13"/>
      <c r="F204" s="13"/>
      <c r="G204" s="13"/>
      <c r="H204" s="9"/>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3"/>
      <c r="B205" s="13"/>
      <c r="C205" s="98"/>
      <c r="D205" s="101"/>
      <c r="E205" s="13"/>
      <c r="F205" s="13"/>
      <c r="G205" s="13"/>
      <c r="H205" s="9"/>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3"/>
      <c r="B206" s="13"/>
      <c r="C206" s="98"/>
      <c r="D206" s="101"/>
      <c r="E206" s="13"/>
      <c r="F206" s="13"/>
      <c r="G206" s="13"/>
      <c r="H206" s="12"/>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3"/>
      <c r="B207" s="13"/>
      <c r="C207" s="98"/>
      <c r="D207" s="101"/>
      <c r="E207" s="13"/>
      <c r="F207" s="13"/>
      <c r="G207" s="13"/>
      <c r="H207" s="9"/>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3"/>
      <c r="B208" s="13"/>
      <c r="C208" s="98"/>
      <c r="D208" s="101"/>
      <c r="E208" s="13"/>
      <c r="F208" s="13"/>
      <c r="G208" s="13"/>
      <c r="H208" s="9"/>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3"/>
      <c r="B209" s="13"/>
      <c r="C209" s="98"/>
      <c r="D209" s="101"/>
      <c r="E209" s="13"/>
      <c r="F209" s="13"/>
      <c r="G209" s="13"/>
      <c r="H209" s="9"/>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3"/>
      <c r="B210" s="13"/>
      <c r="C210" s="98"/>
      <c r="D210" s="101"/>
      <c r="E210" s="13"/>
      <c r="F210" s="13"/>
      <c r="G210" s="13"/>
      <c r="H210" s="12"/>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3"/>
      <c r="B211" s="13"/>
      <c r="C211" s="98"/>
      <c r="D211" s="101"/>
      <c r="E211" s="13"/>
      <c r="F211" s="13"/>
      <c r="G211" s="13"/>
      <c r="H211" s="9"/>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3"/>
      <c r="B212" s="13"/>
      <c r="C212" s="98"/>
      <c r="D212" s="101"/>
      <c r="E212" s="13"/>
      <c r="F212" s="13"/>
      <c r="G212" s="13"/>
      <c r="H212" s="12"/>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3"/>
      <c r="B213" s="13"/>
      <c r="C213" s="98"/>
      <c r="D213" s="101"/>
      <c r="E213" s="13"/>
      <c r="F213" s="13"/>
      <c r="G213" s="13"/>
      <c r="H213" s="9"/>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3"/>
      <c r="B214" s="13"/>
      <c r="C214" s="98"/>
      <c r="D214" s="101"/>
      <c r="E214" s="13"/>
      <c r="F214" s="13"/>
      <c r="G214" s="13"/>
      <c r="H214" s="9"/>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3"/>
      <c r="B215" s="13"/>
      <c r="C215" s="98"/>
      <c r="D215" s="101"/>
      <c r="E215" s="13"/>
      <c r="F215" s="13"/>
      <c r="G215" s="13"/>
      <c r="H215" s="9"/>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3"/>
      <c r="B216" s="13"/>
      <c r="C216" s="98"/>
      <c r="D216" s="101"/>
      <c r="E216" s="13"/>
      <c r="F216" s="13"/>
      <c r="G216" s="13"/>
      <c r="H216" s="12"/>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3"/>
      <c r="B217" s="13"/>
      <c r="C217" s="98"/>
      <c r="D217" s="101"/>
      <c r="E217" s="13"/>
      <c r="F217" s="13"/>
      <c r="G217" s="13"/>
      <c r="H217" s="9"/>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3"/>
      <c r="B218" s="13"/>
      <c r="C218" s="98"/>
      <c r="D218" s="101"/>
      <c r="E218" s="13"/>
      <c r="F218" s="13"/>
      <c r="G218" s="13"/>
      <c r="H218" s="12"/>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3"/>
      <c r="B219" s="13"/>
      <c r="C219" s="98"/>
      <c r="D219" s="101"/>
      <c r="E219" s="13"/>
      <c r="F219" s="13"/>
      <c r="G219" s="13"/>
      <c r="H219" s="9"/>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3"/>
      <c r="B220" s="13"/>
      <c r="C220" s="98"/>
      <c r="D220" s="101"/>
      <c r="E220" s="13"/>
      <c r="F220" s="13"/>
      <c r="G220" s="13"/>
      <c r="H220" s="12"/>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3"/>
      <c r="B221" s="13"/>
      <c r="C221" s="98"/>
      <c r="D221" s="101"/>
      <c r="E221" s="13"/>
      <c r="F221" s="13"/>
      <c r="G221" s="13"/>
      <c r="H221" s="9"/>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3"/>
      <c r="B222" s="13"/>
      <c r="C222" s="98"/>
      <c r="D222" s="101"/>
      <c r="E222" s="13"/>
      <c r="F222" s="13"/>
      <c r="G222" s="13"/>
      <c r="H222" s="12"/>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3"/>
      <c r="B223" s="13"/>
      <c r="C223" s="98"/>
      <c r="D223" s="101"/>
      <c r="E223" s="13"/>
      <c r="F223" s="13"/>
      <c r="G223" s="14"/>
      <c r="H223" s="12"/>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3"/>
      <c r="B224" s="13"/>
      <c r="C224" s="98"/>
      <c r="D224" s="101"/>
      <c r="E224" s="13"/>
      <c r="F224" s="13"/>
      <c r="G224" s="13"/>
      <c r="H224" s="12"/>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3"/>
      <c r="B225" s="13"/>
      <c r="C225" s="98"/>
      <c r="D225" s="101"/>
      <c r="E225" s="13"/>
      <c r="F225" s="13"/>
      <c r="G225" s="13"/>
      <c r="H225" s="9"/>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3"/>
      <c r="B226" s="13"/>
      <c r="C226" s="98"/>
      <c r="D226" s="101"/>
      <c r="E226" s="13"/>
      <c r="F226" s="13"/>
      <c r="G226" s="13"/>
      <c r="H226" s="9"/>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3"/>
      <c r="B227" s="13"/>
      <c r="C227" s="98"/>
      <c r="D227" s="101"/>
      <c r="E227" s="13"/>
      <c r="F227" s="13"/>
      <c r="G227" s="13"/>
      <c r="H227" s="9"/>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3"/>
      <c r="B228" s="13"/>
      <c r="C228" s="98"/>
      <c r="D228" s="101"/>
      <c r="E228" s="13"/>
      <c r="F228" s="13"/>
      <c r="G228" s="13"/>
      <c r="H228" s="9"/>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3"/>
      <c r="B229" s="13"/>
      <c r="C229" s="98"/>
      <c r="D229" s="101"/>
      <c r="E229" s="13"/>
      <c r="F229" s="13"/>
      <c r="G229" s="13"/>
      <c r="H229" s="12"/>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3"/>
      <c r="B230" s="13"/>
      <c r="C230" s="98"/>
      <c r="D230" s="101"/>
      <c r="E230" s="13"/>
      <c r="F230" s="13"/>
      <c r="G230" s="13"/>
      <c r="H230" s="9"/>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3"/>
      <c r="B231" s="13"/>
      <c r="C231" s="98"/>
      <c r="D231" s="101"/>
      <c r="E231" s="13"/>
      <c r="F231" s="13"/>
      <c r="G231" s="13"/>
      <c r="H231" s="12"/>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3"/>
      <c r="B232" s="13"/>
      <c r="C232" s="98"/>
      <c r="D232" s="101"/>
      <c r="E232" s="13"/>
      <c r="F232" s="13"/>
      <c r="G232" s="13"/>
      <c r="H232" s="9"/>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3"/>
      <c r="B233" s="13"/>
      <c r="C233" s="98"/>
      <c r="D233" s="101"/>
      <c r="E233" s="13"/>
      <c r="F233" s="13"/>
      <c r="G233" s="13"/>
      <c r="H233" s="9"/>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3"/>
      <c r="B234" s="13"/>
      <c r="C234" s="98"/>
      <c r="D234" s="101"/>
      <c r="E234" s="13"/>
      <c r="F234" s="13"/>
      <c r="G234" s="13"/>
      <c r="H234" s="9"/>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3"/>
      <c r="B235" s="13"/>
      <c r="C235" s="98"/>
      <c r="D235" s="101"/>
      <c r="E235" s="13"/>
      <c r="F235" s="13"/>
      <c r="G235" s="13"/>
      <c r="H235" s="12"/>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3"/>
      <c r="B236" s="13"/>
      <c r="C236" s="98"/>
      <c r="D236" s="101"/>
      <c r="E236" s="13"/>
      <c r="F236" s="13"/>
      <c r="G236" s="13"/>
      <c r="H236" s="9"/>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3"/>
      <c r="B237" s="13"/>
      <c r="C237" s="98"/>
      <c r="D237" s="101"/>
      <c r="E237" s="13"/>
      <c r="F237" s="13"/>
      <c r="G237" s="13"/>
      <c r="H237" s="9"/>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3"/>
      <c r="B238" s="13"/>
      <c r="C238" s="98"/>
      <c r="D238" s="101"/>
      <c r="E238" s="13"/>
      <c r="F238" s="13"/>
      <c r="G238" s="13"/>
      <c r="H238" s="9"/>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3"/>
      <c r="B239" s="13"/>
      <c r="C239" s="98"/>
      <c r="D239" s="101"/>
      <c r="E239" s="13"/>
      <c r="F239" s="13"/>
      <c r="G239" s="13"/>
      <c r="H239" s="9"/>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3"/>
      <c r="B240" s="13"/>
      <c r="C240" s="98"/>
      <c r="D240" s="101"/>
      <c r="E240" s="13"/>
      <c r="F240" s="13"/>
      <c r="G240" s="13"/>
      <c r="H240" s="9"/>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3"/>
      <c r="B241" s="13"/>
      <c r="C241" s="98"/>
      <c r="D241" s="101"/>
      <c r="E241" s="13"/>
      <c r="F241" s="13"/>
      <c r="G241" s="13"/>
      <c r="H241" s="9"/>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3"/>
      <c r="B242" s="13"/>
      <c r="C242" s="98"/>
      <c r="D242" s="101"/>
      <c r="E242" s="13"/>
      <c r="F242" s="13"/>
      <c r="G242" s="13"/>
      <c r="H242" s="12"/>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3"/>
      <c r="B243" s="13"/>
      <c r="C243" s="98"/>
      <c r="D243" s="101"/>
      <c r="E243" s="13"/>
      <c r="F243" s="13"/>
      <c r="G243" s="13"/>
      <c r="H243" s="12"/>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3"/>
      <c r="B244" s="13"/>
      <c r="C244" s="98"/>
      <c r="D244" s="101"/>
      <c r="E244" s="13"/>
      <c r="F244" s="13"/>
      <c r="G244" s="14"/>
      <c r="H244" s="12"/>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3"/>
      <c r="B245" s="13"/>
      <c r="C245" s="98"/>
      <c r="D245" s="101"/>
      <c r="E245" s="13"/>
      <c r="F245" s="13"/>
      <c r="G245" s="13"/>
      <c r="H245" s="12"/>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3"/>
      <c r="B246" s="13"/>
      <c r="C246" s="98"/>
      <c r="D246" s="101"/>
      <c r="E246" s="13"/>
      <c r="F246" s="13"/>
      <c r="G246" s="13"/>
      <c r="H246" s="9"/>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3"/>
      <c r="B247" s="13"/>
      <c r="C247" s="98"/>
      <c r="D247" s="101"/>
      <c r="E247" s="13"/>
      <c r="F247" s="13"/>
      <c r="G247" s="13"/>
      <c r="H247" s="12"/>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3"/>
      <c r="B248" s="13"/>
      <c r="C248" s="98"/>
      <c r="D248" s="101"/>
      <c r="E248" s="13"/>
      <c r="F248" s="13"/>
      <c r="G248" s="13"/>
      <c r="H248" s="9"/>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3"/>
      <c r="B249" s="13"/>
      <c r="C249" s="98"/>
      <c r="D249" s="101"/>
      <c r="E249" s="13"/>
      <c r="F249" s="13"/>
      <c r="G249" s="13"/>
      <c r="H249" s="9"/>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3"/>
      <c r="B250" s="13"/>
      <c r="C250" s="98"/>
      <c r="D250" s="101"/>
      <c r="E250" s="13"/>
      <c r="F250" s="13"/>
      <c r="G250" s="13"/>
      <c r="H250" s="9"/>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3"/>
      <c r="B251" s="13"/>
      <c r="C251" s="98"/>
      <c r="D251" s="101"/>
      <c r="E251" s="13"/>
      <c r="F251" s="13"/>
      <c r="G251" s="13"/>
      <c r="H251" s="9"/>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3"/>
      <c r="B252" s="13"/>
      <c r="C252" s="98"/>
      <c r="D252" s="101"/>
      <c r="E252" s="13"/>
      <c r="F252" s="13"/>
      <c r="G252" s="13"/>
      <c r="H252" s="9"/>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3"/>
      <c r="B253" s="13"/>
      <c r="C253" s="98"/>
      <c r="D253" s="101"/>
      <c r="E253" s="13"/>
      <c r="F253" s="13"/>
      <c r="G253" s="13"/>
      <c r="H253" s="9"/>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3"/>
      <c r="B254" s="13"/>
      <c r="C254" s="98"/>
      <c r="D254" s="101"/>
      <c r="E254" s="13"/>
      <c r="F254" s="13"/>
      <c r="G254" s="13"/>
      <c r="H254" s="9"/>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3"/>
      <c r="B255" s="13"/>
      <c r="C255" s="98"/>
      <c r="D255" s="101"/>
      <c r="E255" s="13"/>
      <c r="F255" s="13"/>
      <c r="G255" s="13"/>
      <c r="H255" s="9"/>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3"/>
      <c r="B256" s="13"/>
      <c r="C256" s="98"/>
      <c r="D256" s="101"/>
      <c r="E256" s="13"/>
      <c r="F256" s="13"/>
      <c r="G256" s="13"/>
      <c r="H256" s="9"/>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3"/>
      <c r="B257" s="13"/>
      <c r="C257" s="98"/>
      <c r="D257" s="101"/>
      <c r="E257" s="13"/>
      <c r="F257" s="13"/>
      <c r="G257" s="13"/>
      <c r="H257" s="9"/>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3"/>
      <c r="B258" s="13"/>
      <c r="C258" s="98"/>
      <c r="D258" s="101"/>
      <c r="E258" s="13"/>
      <c r="F258" s="13"/>
      <c r="G258" s="13"/>
      <c r="H258" s="9"/>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3"/>
      <c r="B259" s="13"/>
      <c r="C259" s="98"/>
      <c r="D259" s="101"/>
      <c r="E259" s="13"/>
      <c r="F259" s="13"/>
      <c r="G259" s="13"/>
      <c r="H259" s="12"/>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3"/>
      <c r="B260" s="13"/>
      <c r="C260" s="98"/>
      <c r="D260" s="101"/>
      <c r="E260" s="13"/>
      <c r="F260" s="13"/>
      <c r="G260" s="13"/>
      <c r="H260" s="9"/>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3"/>
      <c r="B261" s="13"/>
      <c r="C261" s="98"/>
      <c r="D261" s="101"/>
      <c r="E261" s="13"/>
      <c r="F261" s="13"/>
      <c r="G261" s="13"/>
      <c r="H261" s="9"/>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3"/>
      <c r="B262" s="13"/>
      <c r="C262" s="98"/>
      <c r="D262" s="101"/>
      <c r="E262" s="13"/>
      <c r="F262" s="13"/>
      <c r="G262" s="13"/>
      <c r="H262" s="12"/>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3"/>
      <c r="B263" s="13"/>
      <c r="C263" s="98"/>
      <c r="D263" s="101"/>
      <c r="E263" s="13"/>
      <c r="F263" s="13"/>
      <c r="G263" s="13"/>
      <c r="H263" s="9"/>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3"/>
      <c r="B264" s="13"/>
      <c r="C264" s="98"/>
      <c r="D264" s="101"/>
      <c r="E264" s="13"/>
      <c r="F264" s="13"/>
      <c r="G264" s="13"/>
      <c r="H264" s="9"/>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3"/>
      <c r="B265" s="13"/>
      <c r="C265" s="98"/>
      <c r="D265" s="101"/>
      <c r="E265" s="13"/>
      <c r="F265" s="13"/>
      <c r="G265" s="13"/>
      <c r="H265" s="12"/>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3"/>
      <c r="B266" s="13"/>
      <c r="C266" s="98"/>
      <c r="D266" s="101"/>
      <c r="E266" s="13"/>
      <c r="F266" s="13"/>
      <c r="G266" s="13"/>
      <c r="H266" s="9"/>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3"/>
      <c r="B267" s="13"/>
      <c r="C267" s="98"/>
      <c r="D267" s="101"/>
      <c r="E267" s="13"/>
      <c r="F267" s="13"/>
      <c r="G267" s="13"/>
      <c r="H267" s="12"/>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3"/>
      <c r="B268" s="13"/>
      <c r="C268" s="98"/>
      <c r="D268" s="101"/>
      <c r="E268" s="13"/>
      <c r="F268" s="13"/>
      <c r="G268" s="13"/>
      <c r="H268" s="9"/>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3"/>
      <c r="B269" s="13"/>
      <c r="C269" s="98"/>
      <c r="D269" s="101"/>
      <c r="E269" s="13"/>
      <c r="F269" s="13"/>
      <c r="G269" s="13"/>
      <c r="H269" s="12"/>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3"/>
      <c r="B270" s="13"/>
      <c r="C270" s="98"/>
      <c r="D270" s="101"/>
      <c r="E270" s="13"/>
      <c r="F270" s="13"/>
      <c r="G270" s="14"/>
      <c r="H270" s="12"/>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3"/>
      <c r="B271" s="13"/>
      <c r="C271" s="98"/>
      <c r="D271" s="101"/>
      <c r="E271" s="13"/>
      <c r="F271" s="13"/>
      <c r="G271" s="13"/>
      <c r="H271" s="9"/>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3"/>
      <c r="B272" s="13"/>
      <c r="C272" s="98"/>
      <c r="D272" s="101"/>
      <c r="E272" s="13"/>
      <c r="F272" s="13"/>
      <c r="G272" s="13"/>
      <c r="H272" s="9"/>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3"/>
      <c r="B273" s="13"/>
      <c r="C273" s="98"/>
      <c r="D273" s="101"/>
      <c r="E273" s="13"/>
      <c r="F273" s="13"/>
      <c r="G273" s="13"/>
      <c r="H273" s="12"/>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3"/>
      <c r="B274" s="13"/>
      <c r="C274" s="98"/>
      <c r="D274" s="101"/>
      <c r="E274" s="13"/>
      <c r="F274" s="13"/>
      <c r="G274" s="14"/>
      <c r="H274" s="12"/>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3"/>
      <c r="B275" s="13"/>
      <c r="C275" s="98"/>
      <c r="D275" s="101"/>
      <c r="E275" s="13"/>
      <c r="F275" s="13"/>
      <c r="G275" s="13"/>
      <c r="H275" s="12"/>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3"/>
      <c r="B276" s="13"/>
      <c r="C276" s="98"/>
      <c r="D276" s="101"/>
      <c r="E276" s="13"/>
      <c r="F276" s="13"/>
      <c r="G276" s="13"/>
      <c r="H276" s="9"/>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3"/>
      <c r="B277" s="13"/>
      <c r="C277" s="98"/>
      <c r="D277" s="101"/>
      <c r="E277" s="13"/>
      <c r="F277" s="13"/>
      <c r="G277" s="13"/>
      <c r="H277" s="9"/>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3"/>
      <c r="B278" s="13"/>
      <c r="C278" s="98"/>
      <c r="D278" s="101"/>
      <c r="E278" s="13"/>
      <c r="F278" s="13"/>
      <c r="G278" s="13"/>
      <c r="H278" s="9"/>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3"/>
      <c r="B279" s="13"/>
      <c r="C279" s="98"/>
      <c r="D279" s="101"/>
      <c r="E279" s="13"/>
      <c r="F279" s="13"/>
      <c r="G279" s="14"/>
      <c r="H279" s="12"/>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3"/>
      <c r="B280" s="13"/>
      <c r="C280" s="98"/>
      <c r="D280" s="101"/>
      <c r="E280" s="13"/>
      <c r="F280" s="13"/>
      <c r="G280" s="14"/>
      <c r="H280" s="9"/>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3"/>
      <c r="B281" s="13"/>
      <c r="C281" s="98"/>
      <c r="D281" s="101"/>
      <c r="E281" s="13"/>
      <c r="F281" s="13"/>
      <c r="G281" s="13"/>
      <c r="H281" s="12"/>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3"/>
      <c r="B282" s="13"/>
      <c r="C282" s="98"/>
      <c r="D282" s="101"/>
      <c r="E282" s="13"/>
      <c r="F282" s="13"/>
      <c r="G282" s="13"/>
      <c r="H282" s="9"/>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3"/>
      <c r="B283" s="13"/>
      <c r="C283" s="98"/>
      <c r="D283" s="101"/>
      <c r="E283" s="13"/>
      <c r="F283" s="13"/>
      <c r="G283" s="13"/>
      <c r="H283" s="12"/>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3"/>
      <c r="B284" s="13"/>
      <c r="C284" s="98"/>
      <c r="D284" s="101"/>
      <c r="E284" s="13"/>
      <c r="F284" s="13"/>
      <c r="G284" s="13"/>
      <c r="H284" s="9"/>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3"/>
      <c r="B285" s="13"/>
      <c r="C285" s="98"/>
      <c r="D285" s="101"/>
      <c r="E285" s="13"/>
      <c r="F285" s="13"/>
      <c r="G285" s="13"/>
      <c r="H285" s="9"/>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3"/>
      <c r="B286" s="13"/>
      <c r="C286" s="98"/>
      <c r="D286" s="101"/>
      <c r="E286" s="13"/>
      <c r="F286" s="13"/>
      <c r="G286" s="13"/>
      <c r="H286" s="9"/>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3"/>
      <c r="B287" s="13"/>
      <c r="C287" s="98"/>
      <c r="D287" s="101"/>
      <c r="E287" s="13"/>
      <c r="F287" s="13"/>
      <c r="G287" s="14"/>
      <c r="H287" s="12"/>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3"/>
      <c r="B288" s="13"/>
      <c r="C288" s="98"/>
      <c r="D288" s="101"/>
      <c r="E288" s="13"/>
      <c r="F288" s="13"/>
      <c r="G288" s="14"/>
      <c r="H288" s="9"/>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3"/>
      <c r="B289" s="13"/>
      <c r="C289" s="98"/>
      <c r="D289" s="101"/>
      <c r="E289" s="13"/>
      <c r="F289" s="13"/>
      <c r="G289" s="13"/>
      <c r="H289" s="9"/>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3"/>
      <c r="B290" s="13"/>
      <c r="C290" s="98"/>
      <c r="D290" s="101"/>
      <c r="E290" s="13"/>
      <c r="F290" s="13"/>
      <c r="G290" s="13"/>
      <c r="H290" s="12"/>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3"/>
      <c r="B291" s="13"/>
      <c r="C291" s="98"/>
      <c r="D291" s="101"/>
      <c r="E291" s="13"/>
      <c r="F291" s="13"/>
      <c r="G291" s="13"/>
      <c r="H291" s="9"/>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3"/>
      <c r="B292" s="13"/>
      <c r="C292" s="98"/>
      <c r="D292" s="101"/>
      <c r="E292" s="13"/>
      <c r="F292" s="13"/>
      <c r="G292" s="13"/>
      <c r="H292" s="9"/>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3"/>
      <c r="B293" s="13"/>
      <c r="C293" s="98"/>
      <c r="D293" s="101"/>
      <c r="E293" s="13"/>
      <c r="F293" s="13"/>
      <c r="G293" s="13"/>
      <c r="H293" s="9"/>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3"/>
      <c r="B294" s="13"/>
      <c r="C294" s="98"/>
      <c r="D294" s="101"/>
      <c r="E294" s="13"/>
      <c r="F294" s="13"/>
      <c r="G294" s="13"/>
      <c r="H294" s="9"/>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3"/>
      <c r="B295" s="13"/>
      <c r="C295" s="98"/>
      <c r="D295" s="101"/>
      <c r="E295" s="13"/>
      <c r="F295" s="13"/>
      <c r="G295" s="13"/>
      <c r="H295" s="12"/>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3"/>
      <c r="B296" s="13"/>
      <c r="C296" s="98"/>
      <c r="D296" s="101"/>
      <c r="E296" s="13"/>
      <c r="F296" s="13"/>
      <c r="G296" s="13"/>
      <c r="H296" s="9"/>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3"/>
      <c r="B297" s="13"/>
      <c r="C297" s="98"/>
      <c r="D297" s="101"/>
      <c r="E297" s="13"/>
      <c r="F297" s="13"/>
      <c r="G297" s="13"/>
      <c r="H297" s="9"/>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3"/>
      <c r="B298" s="13"/>
      <c r="C298" s="98"/>
      <c r="D298" s="101"/>
      <c r="E298" s="13"/>
      <c r="F298" s="13"/>
      <c r="G298" s="13"/>
      <c r="H298" s="9"/>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3"/>
      <c r="B299" s="13"/>
      <c r="C299" s="98"/>
      <c r="D299" s="101"/>
      <c r="E299" s="13"/>
      <c r="F299" s="13"/>
      <c r="G299" s="13"/>
      <c r="H299" s="12"/>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3"/>
      <c r="B300" s="13"/>
      <c r="C300" s="98"/>
      <c r="D300" s="101"/>
      <c r="E300" s="13"/>
      <c r="F300" s="13"/>
      <c r="G300" s="13"/>
      <c r="H300" s="9"/>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3"/>
      <c r="B301" s="13"/>
      <c r="C301" s="98"/>
      <c r="D301" s="101"/>
      <c r="E301" s="13"/>
      <c r="F301" s="13"/>
      <c r="G301" s="13"/>
      <c r="H301" s="9"/>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3"/>
      <c r="B302" s="13"/>
      <c r="C302" s="98"/>
      <c r="D302" s="101"/>
      <c r="E302" s="13"/>
      <c r="F302" s="13"/>
      <c r="G302" s="13"/>
      <c r="H302" s="9"/>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3"/>
      <c r="B303" s="13"/>
      <c r="C303" s="98"/>
      <c r="D303" s="101"/>
      <c r="E303" s="13"/>
      <c r="F303" s="13"/>
      <c r="G303" s="13"/>
      <c r="H303" s="9"/>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3"/>
      <c r="B304" s="13"/>
      <c r="C304" s="98"/>
      <c r="D304" s="101"/>
      <c r="E304" s="13"/>
      <c r="F304" s="13"/>
      <c r="G304" s="13"/>
      <c r="H304" s="9"/>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3"/>
      <c r="B305" s="13"/>
      <c r="C305" s="98"/>
      <c r="D305" s="101"/>
      <c r="E305" s="13"/>
      <c r="F305" s="13"/>
      <c r="G305" s="13"/>
      <c r="H305" s="12"/>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3"/>
      <c r="B306" s="13"/>
      <c r="C306" s="98"/>
      <c r="D306" s="101"/>
      <c r="E306" s="13"/>
      <c r="F306" s="13"/>
      <c r="G306" s="13"/>
      <c r="H306" s="9"/>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3"/>
      <c r="B307" s="13"/>
      <c r="C307" s="98"/>
      <c r="D307" s="101"/>
      <c r="E307" s="13"/>
      <c r="F307" s="13"/>
      <c r="G307" s="13"/>
      <c r="H307" s="9"/>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3"/>
      <c r="B308" s="13"/>
      <c r="C308" s="98"/>
      <c r="D308" s="101"/>
      <c r="E308" s="13"/>
      <c r="F308" s="13"/>
      <c r="G308" s="13"/>
      <c r="H308" s="9"/>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3"/>
      <c r="B309" s="13"/>
      <c r="C309" s="98"/>
      <c r="D309" s="101"/>
      <c r="E309" s="13"/>
      <c r="F309" s="13"/>
      <c r="G309" s="13"/>
      <c r="H309" s="12"/>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3"/>
      <c r="B310" s="13"/>
      <c r="C310" s="98"/>
      <c r="D310" s="101"/>
      <c r="E310" s="13"/>
      <c r="F310" s="13"/>
      <c r="G310" s="13"/>
      <c r="H310" s="9"/>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3"/>
      <c r="B311" s="13"/>
      <c r="C311" s="98"/>
      <c r="D311" s="101"/>
      <c r="E311" s="13"/>
      <c r="F311" s="13"/>
      <c r="G311" s="13"/>
      <c r="H311" s="12"/>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3"/>
      <c r="B312" s="13"/>
      <c r="C312" s="98"/>
      <c r="D312" s="101"/>
      <c r="E312" s="13"/>
      <c r="F312" s="13"/>
      <c r="G312" s="13"/>
      <c r="H312" s="9"/>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3"/>
      <c r="B313" s="13"/>
      <c r="C313" s="98"/>
      <c r="D313" s="101"/>
      <c r="E313" s="13"/>
      <c r="F313" s="13"/>
      <c r="G313" s="13"/>
      <c r="H313" s="12"/>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3"/>
      <c r="B314" s="13"/>
      <c r="C314" s="98"/>
      <c r="D314" s="101"/>
      <c r="E314" s="13"/>
      <c r="F314" s="13"/>
      <c r="G314" s="13"/>
      <c r="H314" s="12"/>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3"/>
      <c r="B315" s="13"/>
      <c r="C315" s="98"/>
      <c r="D315" s="101"/>
      <c r="E315" s="13"/>
      <c r="F315" s="13"/>
      <c r="G315" s="13"/>
      <c r="H315" s="12"/>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3"/>
      <c r="B316" s="13"/>
      <c r="C316" s="98"/>
      <c r="D316" s="101"/>
      <c r="E316" s="13"/>
      <c r="F316" s="13"/>
      <c r="G316" s="13"/>
      <c r="H316" s="12"/>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3"/>
      <c r="B317" s="13"/>
      <c r="C317" s="98"/>
      <c r="D317" s="101"/>
      <c r="E317" s="13"/>
      <c r="F317" s="13"/>
      <c r="G317" s="13"/>
      <c r="H317" s="12"/>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3"/>
      <c r="B318" s="13"/>
      <c r="C318" s="98"/>
      <c r="D318" s="101"/>
      <c r="E318" s="13"/>
      <c r="F318" s="13"/>
      <c r="G318" s="13"/>
      <c r="H318" s="12"/>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3"/>
      <c r="B319" s="13"/>
      <c r="C319" s="98"/>
      <c r="D319" s="101"/>
      <c r="E319" s="13"/>
      <c r="F319" s="13"/>
      <c r="G319" s="13"/>
      <c r="H319" s="12"/>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3"/>
      <c r="B320" s="13"/>
      <c r="C320" s="98"/>
      <c r="D320" s="101"/>
      <c r="E320" s="13"/>
      <c r="F320" s="13"/>
      <c r="G320" s="13"/>
      <c r="H320" s="12"/>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3"/>
      <c r="B321" s="13"/>
      <c r="C321" s="98"/>
      <c r="D321" s="101"/>
      <c r="E321" s="13"/>
      <c r="F321" s="13"/>
      <c r="G321" s="13"/>
      <c r="H321" s="12"/>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3"/>
      <c r="B322" s="13"/>
      <c r="C322" s="98"/>
      <c r="D322" s="101"/>
      <c r="E322" s="13"/>
      <c r="F322" s="13"/>
      <c r="G322" s="13"/>
      <c r="H322" s="12"/>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3"/>
      <c r="B323" s="13"/>
      <c r="C323" s="98"/>
      <c r="D323" s="101"/>
      <c r="E323" s="13"/>
      <c r="F323" s="13"/>
      <c r="G323" s="13"/>
      <c r="H323" s="12"/>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3"/>
      <c r="B324" s="13"/>
      <c r="C324" s="98"/>
      <c r="D324" s="101"/>
      <c r="E324" s="13"/>
      <c r="F324" s="13"/>
      <c r="G324" s="13"/>
      <c r="H324" s="12"/>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3"/>
      <c r="B325" s="13"/>
      <c r="C325" s="98"/>
      <c r="D325" s="101"/>
      <c r="E325" s="13"/>
      <c r="F325" s="13"/>
      <c r="G325" s="13"/>
      <c r="H325" s="12"/>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3"/>
      <c r="B326" s="13"/>
      <c r="C326" s="98"/>
      <c r="D326" s="101"/>
      <c r="E326" s="13"/>
      <c r="F326" s="13"/>
      <c r="G326" s="14"/>
      <c r="H326" s="12"/>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prompt="出現確率 - 0.0〜1.0 で入力（例: 0.7）" showDropDown="false" showErrorMessage="true" showInputMessage="true" sqref="D3:D52 D54:D20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453125" defaultRowHeight="15" zeroHeight="false" outlineLevelRow="0" outlineLevelCol="0"/>
  <cols>
    <col collapsed="false" customWidth="true" hidden="false" outlineLevel="0" max="1" min="1" style="1" width="18"/>
    <col collapsed="false" customWidth="true" hidden="false" outlineLevel="0" max="2" min="2" style="1" width="5"/>
    <col collapsed="false" customWidth="true" hidden="false" outlineLevel="0" max="3" min="3" style="1" width="18"/>
    <col collapsed="false" customWidth="true" hidden="false" outlineLevel="0" max="4" min="4" style="1" width="14"/>
    <col collapsed="false" customWidth="true" hidden="false" outlineLevel="0" max="5" min="5" style="1" width="16"/>
    <col collapsed="false" customWidth="true" hidden="false" outlineLevel="0" max="6" min="6" style="1" width="22"/>
    <col collapsed="false" customWidth="true" hidden="false" outlineLevel="0" max="7" min="7" style="1" width="14"/>
    <col collapsed="false" customWidth="true" hidden="false" outlineLevel="0" max="8" min="8" style="1" width="18"/>
    <col collapsed="false" customWidth="true" hidden="false" outlineLevel="0" max="9" min="9" style="1" width="16"/>
    <col collapsed="false" customWidth="true" hidden="false" outlineLevel="0" max="10" min="10" style="1" width="12"/>
    <col collapsed="false" customWidth="true" hidden="false" outlineLevel="0" max="11" min="11" style="1" width="7"/>
    <col collapsed="false" customWidth="true" hidden="false" outlineLevel="0" max="12" min="12" style="1" width="42"/>
    <col collapsed="false" customWidth="true" hidden="false" outlineLevel="0" max="13" min="13" style="1" width="7"/>
  </cols>
  <sheetData>
    <row r="1" customFormat="false" ht="21.75" hidden="false" customHeight="true" outlineLevel="0" collapsed="false">
      <c r="A1" s="91" t="s">
        <v>1065</v>
      </c>
      <c r="B1" s="91"/>
      <c r="C1" s="91"/>
      <c r="D1" s="91"/>
      <c r="E1" s="91"/>
      <c r="F1" s="91"/>
      <c r="G1" s="91"/>
      <c r="H1" s="91"/>
      <c r="I1" s="91"/>
      <c r="J1" s="91"/>
      <c r="K1" s="91"/>
      <c r="L1" s="91"/>
      <c r="M1" s="91"/>
      <c r="O1" s="1"/>
      <c r="P1" s="1"/>
      <c r="Q1" s="1"/>
      <c r="R1" s="1"/>
      <c r="S1" s="1"/>
      <c r="T1" s="1"/>
      <c r="U1" s="1"/>
      <c r="V1" s="1"/>
      <c r="W1" s="1"/>
      <c r="X1" s="1"/>
      <c r="Y1" s="1"/>
      <c r="Z1" s="1"/>
      <c r="AA1" s="1"/>
    </row>
    <row r="2" customFormat="false" ht="51.75" hidden="false" customHeight="true" outlineLevel="0" collapsed="false">
      <c r="A2" s="108" t="s">
        <v>1066</v>
      </c>
      <c r="B2" s="108" t="s">
        <v>1067</v>
      </c>
      <c r="C2" s="109" t="s">
        <v>1068</v>
      </c>
      <c r="D2" s="110" t="s">
        <v>1069</v>
      </c>
      <c r="E2" s="108" t="s">
        <v>1070</v>
      </c>
      <c r="F2" s="109" t="s">
        <v>1071</v>
      </c>
      <c r="G2" s="110" t="s">
        <v>1072</v>
      </c>
      <c r="H2" s="108" t="s">
        <v>1073</v>
      </c>
      <c r="I2" s="111" t="s">
        <v>1074</v>
      </c>
      <c r="J2" s="111" t="s">
        <v>1075</v>
      </c>
      <c r="K2" s="111" t="s">
        <v>1076</v>
      </c>
      <c r="L2" s="96" t="s">
        <v>1077</v>
      </c>
      <c r="M2" s="96" t="s">
        <v>336</v>
      </c>
      <c r="N2" s="97" t="s">
        <v>1078</v>
      </c>
      <c r="O2" s="1"/>
      <c r="P2" s="1"/>
      <c r="Q2" s="1"/>
      <c r="R2" s="1"/>
      <c r="S2" s="1"/>
      <c r="T2" s="1"/>
      <c r="U2" s="1"/>
      <c r="V2" s="1"/>
      <c r="W2" s="1"/>
      <c r="X2" s="1"/>
      <c r="Y2" s="1"/>
      <c r="Z2" s="1"/>
      <c r="AA2" s="1"/>
    </row>
    <row r="3" customFormat="false" ht="15" hidden="false" customHeight="true" outlineLevel="0" collapsed="false">
      <c r="A3" s="14" t="s">
        <v>750</v>
      </c>
      <c r="B3" s="13" t="n">
        <v>1</v>
      </c>
      <c r="C3" s="98" t="s">
        <v>129</v>
      </c>
      <c r="D3" s="101" t="str">
        <f aca="false">IFERROR(INDEX(値リスト!$G$25:$G$29,MATCH(C3,値リスト!$H$25:$H$29,0)),"")</f>
        <v>itemId</v>
      </c>
      <c r="E3" s="13" t="s">
        <v>347</v>
      </c>
      <c r="F3" s="98"/>
      <c r="G3" s="101"/>
      <c r="H3" s="13"/>
      <c r="I3" s="12" t="s">
        <v>13</v>
      </c>
      <c r="J3" s="1" t="str">
        <f aca="false">IFERROR(INDEX(値リスト!$G$3:$G$11,MATCH(I3,値リスト!$H$3:$H$11,0)),"")</f>
        <v>grind</v>
      </c>
      <c r="K3" s="1" t="n">
        <v>1</v>
      </c>
      <c r="L3" s="12" t="s">
        <v>1079</v>
      </c>
      <c r="M3" s="1" t="s">
        <v>1080</v>
      </c>
      <c r="N3" s="97" t="s">
        <v>975</v>
      </c>
      <c r="O3" s="1"/>
      <c r="P3" s="1"/>
      <c r="Q3" s="1"/>
      <c r="R3" s="1"/>
      <c r="S3" s="1"/>
      <c r="T3" s="1"/>
      <c r="U3" s="1"/>
      <c r="V3" s="1"/>
      <c r="W3" s="1"/>
      <c r="X3" s="1"/>
      <c r="Y3" s="1"/>
      <c r="Z3" s="1"/>
      <c r="AA3" s="1"/>
    </row>
    <row r="4" customFormat="false" ht="16.5" hidden="false" customHeight="true" outlineLevel="0" collapsed="false">
      <c r="A4" s="11" t="s">
        <v>750</v>
      </c>
      <c r="B4" s="10" t="n">
        <v>2</v>
      </c>
      <c r="C4" s="98" t="s">
        <v>131</v>
      </c>
      <c r="D4" s="101" t="str">
        <f aca="false">IFERROR(INDEX(値リスト!$G$25:$G$29,MATCH(C4,値リスト!$H$25:$H$29,0)),"")</f>
        <v>categoryId</v>
      </c>
      <c r="E4" s="10" t="s">
        <v>24</v>
      </c>
      <c r="F4" s="98"/>
      <c r="G4" s="101"/>
      <c r="H4" s="10"/>
      <c r="I4" s="12" t="s">
        <v>21</v>
      </c>
      <c r="J4" s="1" t="str">
        <f aca="false">IFERROR(INDEX(値リスト!$G$3:$G$11,MATCH(I4,値リスト!$H$3:$H$11,0)),"")</f>
        <v>boil</v>
      </c>
      <c r="K4" s="1" t="n">
        <v>1</v>
      </c>
      <c r="L4" s="12" t="s">
        <v>1081</v>
      </c>
      <c r="M4" s="1" t="s">
        <v>1080</v>
      </c>
      <c r="N4" s="97" t="s">
        <v>975</v>
      </c>
      <c r="O4" s="1"/>
      <c r="P4" s="1"/>
      <c r="Q4" s="1"/>
      <c r="R4" s="1"/>
      <c r="S4" s="1"/>
      <c r="T4" s="1"/>
      <c r="U4" s="1"/>
      <c r="V4" s="1"/>
      <c r="W4" s="1"/>
      <c r="X4" s="1"/>
      <c r="Y4" s="1"/>
      <c r="Z4" s="1"/>
      <c r="AA4" s="1"/>
    </row>
    <row r="5" customFormat="false" ht="15" hidden="false" customHeight="true" outlineLevel="0" collapsed="false">
      <c r="A5" s="14"/>
      <c r="B5" s="13"/>
      <c r="C5" s="98"/>
      <c r="D5" s="101"/>
      <c r="E5" s="13"/>
      <c r="F5" s="98"/>
      <c r="G5" s="101"/>
      <c r="H5" s="13"/>
      <c r="I5" s="9"/>
      <c r="O5" s="1"/>
      <c r="P5" s="1"/>
      <c r="Q5" s="1"/>
      <c r="R5" s="1"/>
      <c r="S5" s="1"/>
      <c r="T5" s="1"/>
      <c r="U5" s="1"/>
      <c r="V5" s="1"/>
      <c r="W5" s="1"/>
      <c r="X5" s="1"/>
      <c r="Y5" s="1"/>
      <c r="Z5" s="1"/>
      <c r="AA5" s="1"/>
    </row>
    <row r="6" customFormat="false" ht="15" hidden="false" customHeight="true" outlineLevel="0" collapsed="false">
      <c r="A6" s="11" t="s">
        <v>754</v>
      </c>
      <c r="B6" s="10" t="n">
        <v>1</v>
      </c>
      <c r="C6" s="98" t="s">
        <v>136</v>
      </c>
      <c r="D6" s="101" t="str">
        <f aca="false">IFERROR(INDEX(値リスト!$G$25:$G$29,MATCH(C6,値リスト!$H$25:$H$29,0)),"")</f>
        <v>effectId</v>
      </c>
      <c r="E6" s="10" t="s">
        <v>76</v>
      </c>
      <c r="F6" s="98"/>
      <c r="G6" s="101"/>
      <c r="H6" s="10"/>
      <c r="I6" s="12" t="s">
        <v>21</v>
      </c>
      <c r="J6" s="1" t="str">
        <f aca="false">IFERROR(INDEX(値リスト!$G$3:$G$11,MATCH(I6,値リスト!$H$3:$H$11,0)),"")</f>
        <v>boil</v>
      </c>
      <c r="K6" s="1" t="n">
        <v>1</v>
      </c>
      <c r="L6" s="12" t="s">
        <v>1082</v>
      </c>
      <c r="M6" s="1" t="s">
        <v>1080</v>
      </c>
      <c r="N6" s="97" t="s">
        <v>975</v>
      </c>
      <c r="O6" s="1"/>
      <c r="P6" s="1"/>
      <c r="Q6" s="1"/>
      <c r="R6" s="1"/>
      <c r="S6" s="1"/>
      <c r="T6" s="1"/>
      <c r="U6" s="1"/>
      <c r="V6" s="1"/>
      <c r="W6" s="1"/>
      <c r="X6" s="1"/>
      <c r="Y6" s="1"/>
      <c r="Z6" s="1"/>
      <c r="AA6" s="1"/>
    </row>
    <row r="7" customFormat="false" ht="15" hidden="false" customHeight="true" outlineLevel="0" collapsed="false">
      <c r="A7" s="102" t="s">
        <v>754</v>
      </c>
      <c r="B7" s="112" t="n">
        <v>2</v>
      </c>
      <c r="C7" s="113" t="s">
        <v>140</v>
      </c>
      <c r="D7" s="114" t="str">
        <f aca="false">IFERROR(INDEX(値リスト!$G$25:$G$29,MATCH(C7,値リスト!$H$25:$H$29,0)),"")</f>
        <v>reactionId</v>
      </c>
      <c r="E7" s="115" t="s">
        <v>155</v>
      </c>
      <c r="F7" s="113"/>
      <c r="G7" s="114"/>
      <c r="H7" s="112"/>
      <c r="I7" s="102" t="s">
        <v>37</v>
      </c>
      <c r="J7" s="116" t="str">
        <f aca="false">IFERROR(INDEX(値リスト!$G$3:$G$11,MATCH(I7,値リスト!$H$3:$H$11,0)),"")</f>
        <v>raw</v>
      </c>
      <c r="K7" s="1" t="n">
        <v>1</v>
      </c>
      <c r="L7" s="12" t="s">
        <v>1083</v>
      </c>
      <c r="M7" s="1" t="s">
        <v>1080</v>
      </c>
      <c r="N7" s="97" t="s">
        <v>975</v>
      </c>
      <c r="O7" s="1"/>
      <c r="P7" s="1"/>
      <c r="Q7" s="1"/>
      <c r="R7" s="1"/>
      <c r="S7" s="1"/>
      <c r="T7" s="1"/>
      <c r="U7" s="1"/>
      <c r="V7" s="1"/>
      <c r="W7" s="1"/>
      <c r="X7" s="1"/>
      <c r="Y7" s="1"/>
      <c r="Z7" s="1"/>
      <c r="AA7" s="1"/>
    </row>
    <row r="8" customFormat="false" ht="15" hidden="false" customHeight="true" outlineLevel="0" collapsed="false">
      <c r="A8" s="116"/>
      <c r="B8" s="116"/>
      <c r="C8" s="113"/>
      <c r="D8" s="114"/>
      <c r="E8" s="116"/>
      <c r="F8" s="113"/>
      <c r="G8" s="114"/>
      <c r="H8" s="116"/>
      <c r="I8" s="116"/>
      <c r="J8" s="116"/>
      <c r="O8" s="1"/>
      <c r="P8" s="1"/>
      <c r="Q8" s="1"/>
      <c r="R8" s="1"/>
      <c r="S8" s="1"/>
      <c r="T8" s="1"/>
      <c r="U8" s="1"/>
      <c r="V8" s="1"/>
      <c r="W8" s="1"/>
      <c r="X8" s="1"/>
      <c r="Y8" s="1"/>
      <c r="Z8" s="1"/>
      <c r="AA8" s="1"/>
    </row>
    <row r="9" customFormat="false" ht="15" hidden="false" customHeight="true" outlineLevel="0" collapsed="false">
      <c r="A9" s="102" t="s">
        <v>530</v>
      </c>
      <c r="B9" s="112" t="n">
        <v>1</v>
      </c>
      <c r="C9" s="113" t="s">
        <v>131</v>
      </c>
      <c r="D9" s="114" t="str">
        <f aca="false">IFERROR(INDEX(値リスト!$G$25:$G$29,MATCH(C9,値リスト!$H$25:$H$29,0)),"")</f>
        <v>categoryId</v>
      </c>
      <c r="E9" s="115" t="s">
        <v>24</v>
      </c>
      <c r="F9" s="113"/>
      <c r="G9" s="114"/>
      <c r="H9" s="112"/>
      <c r="I9" s="102" t="s">
        <v>68</v>
      </c>
      <c r="J9" s="116" t="str">
        <f aca="false">IFERROR(INDEX(値リスト!$G$3:$G$11,MATCH(I9,値リスト!$H$3:$H$11,0)),"")</f>
        <v>distill</v>
      </c>
      <c r="K9" s="1" t="n">
        <v>1</v>
      </c>
      <c r="L9" s="12" t="s">
        <v>1084</v>
      </c>
      <c r="N9" s="97" t="s">
        <v>975</v>
      </c>
      <c r="O9" s="1"/>
      <c r="P9" s="1"/>
      <c r="Q9" s="1"/>
      <c r="R9" s="1"/>
      <c r="S9" s="1"/>
      <c r="T9" s="1"/>
      <c r="U9" s="1"/>
      <c r="V9" s="1"/>
      <c r="W9" s="1"/>
      <c r="X9" s="1"/>
      <c r="Y9" s="1"/>
      <c r="Z9" s="1"/>
      <c r="AA9" s="1"/>
    </row>
    <row r="10" customFormat="false" ht="15" hidden="false" customHeight="true" outlineLevel="0" collapsed="false">
      <c r="A10" s="102"/>
      <c r="B10" s="112"/>
      <c r="C10" s="113"/>
      <c r="D10" s="114"/>
      <c r="E10" s="102"/>
      <c r="F10" s="113"/>
      <c r="G10" s="114"/>
      <c r="H10" s="112"/>
      <c r="I10" s="102"/>
      <c r="O10" s="1"/>
      <c r="P10" s="1"/>
      <c r="Q10" s="1"/>
      <c r="R10" s="1"/>
      <c r="S10" s="1"/>
      <c r="T10" s="1"/>
      <c r="U10" s="1"/>
      <c r="V10" s="1"/>
      <c r="W10" s="1"/>
      <c r="X10" s="1"/>
      <c r="Y10" s="1"/>
      <c r="Z10" s="1"/>
      <c r="AA10" s="1"/>
    </row>
    <row r="11" customFormat="false" ht="15" hidden="false" customHeight="true" outlineLevel="0" collapsed="false">
      <c r="A11" s="117" t="s">
        <v>531</v>
      </c>
      <c r="B11" s="117" t="n">
        <v>1</v>
      </c>
      <c r="C11" s="113" t="s">
        <v>129</v>
      </c>
      <c r="D11" s="114" t="str">
        <f aca="false">IFERROR(INDEX(値リスト!$G$25:$G$29,MATCH(C11,値リスト!$H$25:$H$29,0)),"")</f>
        <v>itemId</v>
      </c>
      <c r="E11" s="116" t="s">
        <v>577</v>
      </c>
      <c r="F11" s="113"/>
      <c r="G11" s="114"/>
      <c r="H11" s="117"/>
      <c r="I11" s="117" t="s">
        <v>37</v>
      </c>
      <c r="J11" s="117" t="str">
        <f aca="false">IFERROR(INDEX(値リスト!$G$3:$G$11,MATCH(I11,値リスト!$H$3:$H$11,0)),"")</f>
        <v>raw</v>
      </c>
      <c r="K11" s="1" t="n">
        <v>1</v>
      </c>
      <c r="L11" s="12" t="s">
        <v>1085</v>
      </c>
      <c r="N11" s="97" t="s">
        <v>975</v>
      </c>
      <c r="O11" s="1"/>
      <c r="P11" s="1"/>
      <c r="Q11" s="1"/>
      <c r="R11" s="1"/>
      <c r="S11" s="1"/>
      <c r="T11" s="1"/>
      <c r="U11" s="1"/>
      <c r="V11" s="1"/>
      <c r="W11" s="1"/>
      <c r="X11" s="1"/>
      <c r="Y11" s="1"/>
      <c r="Z11" s="1"/>
      <c r="AA11" s="1"/>
    </row>
    <row r="12" customFormat="false" ht="15" hidden="false" customHeight="true" outlineLevel="0" collapsed="false">
      <c r="A12" s="102" t="s">
        <v>531</v>
      </c>
      <c r="B12" s="112" t="n">
        <v>2</v>
      </c>
      <c r="C12" s="113" t="s">
        <v>140</v>
      </c>
      <c r="D12" s="114" t="str">
        <f aca="false">IFERROR(INDEX(値リスト!$G$25:$G$29,MATCH(C12,値リスト!$H$25:$H$29,0)),"")</f>
        <v>reactionId</v>
      </c>
      <c r="E12" s="115" t="s">
        <v>141</v>
      </c>
      <c r="F12" s="113"/>
      <c r="G12" s="114"/>
      <c r="H12" s="112"/>
      <c r="I12" s="102" t="s">
        <v>65</v>
      </c>
      <c r="J12" s="117" t="str">
        <f aca="false">IFERROR(INDEX(値リスト!$G$3:$G$11,MATCH(I12,値リスト!$H$3:$H$11,0)),"")</f>
        <v>dissolve</v>
      </c>
      <c r="K12" s="1" t="n">
        <v>1</v>
      </c>
      <c r="L12" s="12" t="s">
        <v>1086</v>
      </c>
      <c r="N12" s="97" t="s">
        <v>975</v>
      </c>
      <c r="O12" s="1"/>
      <c r="P12" s="1"/>
      <c r="Q12" s="1"/>
      <c r="R12" s="1"/>
      <c r="S12" s="1"/>
      <c r="T12" s="1"/>
      <c r="U12" s="1"/>
      <c r="V12" s="1"/>
      <c r="W12" s="1"/>
      <c r="X12" s="1"/>
      <c r="Y12" s="1"/>
      <c r="Z12" s="1"/>
      <c r="AA12" s="1"/>
    </row>
    <row r="13" customFormat="false" ht="15" hidden="false" customHeight="true" outlineLevel="0" collapsed="false">
      <c r="A13" s="102"/>
      <c r="B13" s="112"/>
      <c r="C13" s="113"/>
      <c r="D13" s="114"/>
      <c r="E13" s="102"/>
      <c r="F13" s="113"/>
      <c r="G13" s="114"/>
      <c r="H13" s="112"/>
      <c r="I13" s="102"/>
      <c r="J13" s="117"/>
      <c r="O13" s="1"/>
      <c r="P13" s="1"/>
      <c r="Q13" s="1"/>
      <c r="R13" s="1"/>
      <c r="S13" s="1"/>
      <c r="T13" s="1"/>
      <c r="U13" s="1"/>
      <c r="V13" s="1"/>
      <c r="W13" s="1"/>
      <c r="X13" s="1"/>
      <c r="Y13" s="1"/>
      <c r="Z13" s="1"/>
      <c r="AA13" s="1"/>
    </row>
    <row r="14" customFormat="false" ht="15" hidden="false" customHeight="true" outlineLevel="0" collapsed="false">
      <c r="A14" s="117" t="s">
        <v>532</v>
      </c>
      <c r="B14" s="117" t="n">
        <v>1</v>
      </c>
      <c r="C14" s="113" t="s">
        <v>129</v>
      </c>
      <c r="D14" s="114" t="str">
        <f aca="false">IFERROR(INDEX(値リスト!$G$25:$G$29,MATCH(C14,値リスト!$H$25:$H$29,0)),"")</f>
        <v>itemId</v>
      </c>
      <c r="E14" s="116" t="s">
        <v>577</v>
      </c>
      <c r="F14" s="113"/>
      <c r="G14" s="114"/>
      <c r="H14" s="117"/>
      <c r="I14" s="117" t="s">
        <v>68</v>
      </c>
      <c r="J14" s="117" t="str">
        <f aca="false">IFERROR(INDEX(値リスト!$G$3:$G$11,MATCH(I14,値リスト!$H$3:$H$11,0)),"")</f>
        <v>distill</v>
      </c>
      <c r="K14" s="1" t="n">
        <v>1</v>
      </c>
      <c r="L14" s="12" t="s">
        <v>1087</v>
      </c>
      <c r="N14" s="97" t="s">
        <v>975</v>
      </c>
      <c r="O14" s="1"/>
      <c r="P14" s="1"/>
      <c r="Q14" s="1"/>
      <c r="R14" s="1"/>
      <c r="S14" s="1"/>
      <c r="T14" s="1"/>
      <c r="U14" s="1"/>
      <c r="V14" s="1"/>
      <c r="W14" s="1"/>
      <c r="X14" s="1"/>
      <c r="Y14" s="1"/>
      <c r="Z14" s="1"/>
      <c r="AA14" s="1"/>
    </row>
    <row r="15" customFormat="false" ht="15" hidden="false" customHeight="true" outlineLevel="0" collapsed="false">
      <c r="A15" s="102" t="s">
        <v>532</v>
      </c>
      <c r="B15" s="112" t="n">
        <v>2</v>
      </c>
      <c r="C15" s="113" t="s">
        <v>129</v>
      </c>
      <c r="D15" s="114" t="str">
        <f aca="false">IFERROR(INDEX(値リスト!$G$25:$G$29,MATCH(C15,値リスト!$H$25:$H$29,0)),"")</f>
        <v>itemId</v>
      </c>
      <c r="E15" s="115" t="s">
        <v>582</v>
      </c>
      <c r="F15" s="113"/>
      <c r="G15" s="114"/>
      <c r="H15" s="112"/>
      <c r="I15" s="102" t="s">
        <v>37</v>
      </c>
      <c r="J15" s="117" t="str">
        <f aca="false">IFERROR(INDEX(値リスト!$G$3:$G$11,MATCH(I15,値リスト!$H$3:$H$11,0)),"")</f>
        <v>raw</v>
      </c>
      <c r="K15" s="1" t="n">
        <v>1</v>
      </c>
      <c r="L15" s="12" t="s">
        <v>1088</v>
      </c>
      <c r="N15" s="97" t="s">
        <v>975</v>
      </c>
      <c r="O15" s="1"/>
      <c r="P15" s="1"/>
      <c r="Q15" s="1"/>
      <c r="R15" s="1"/>
      <c r="S15" s="1"/>
      <c r="T15" s="1"/>
      <c r="U15" s="1"/>
      <c r="V15" s="1"/>
      <c r="W15" s="1"/>
      <c r="X15" s="1"/>
      <c r="Y15" s="1"/>
      <c r="Z15" s="1"/>
      <c r="AA15" s="1"/>
    </row>
    <row r="16" customFormat="false" ht="15" hidden="false" customHeight="true" outlineLevel="0" collapsed="false">
      <c r="A16" s="102"/>
      <c r="B16" s="112"/>
      <c r="C16" s="113"/>
      <c r="D16" s="114"/>
      <c r="E16" s="102"/>
      <c r="F16" s="113"/>
      <c r="G16" s="114"/>
      <c r="H16" s="112"/>
      <c r="I16" s="102"/>
      <c r="O16" s="1"/>
      <c r="P16" s="1"/>
      <c r="Q16" s="1"/>
      <c r="R16" s="1"/>
      <c r="S16" s="1"/>
      <c r="T16" s="1"/>
      <c r="U16" s="1"/>
      <c r="V16" s="1"/>
      <c r="W16" s="1"/>
      <c r="X16" s="1"/>
      <c r="Y16" s="1"/>
      <c r="Z16" s="1"/>
      <c r="AA16" s="1"/>
    </row>
    <row r="17" customFormat="false" ht="15" hidden="false" customHeight="true" outlineLevel="0" collapsed="false">
      <c r="A17" s="117" t="s">
        <v>589</v>
      </c>
      <c r="B17" s="117" t="n">
        <v>1</v>
      </c>
      <c r="C17" s="113" t="s">
        <v>131</v>
      </c>
      <c r="D17" s="114" t="str">
        <f aca="false">IFERROR(INDEX(値リスト!$G$25:$G$29,MATCH(C17,値リスト!$H$25:$H$29,0)),"")</f>
        <v>categoryId</v>
      </c>
      <c r="E17" s="116" t="s">
        <v>24</v>
      </c>
      <c r="F17" s="113"/>
      <c r="G17" s="114"/>
      <c r="H17" s="117"/>
      <c r="I17" s="117" t="s">
        <v>21</v>
      </c>
      <c r="J17" s="117" t="str">
        <f aca="false">IFERROR(INDEX(値リスト!$G$3:$G$11,MATCH(I17,値リスト!$H$3:$H$11,0)),"")</f>
        <v>boil</v>
      </c>
      <c r="K17" s="1" t="n">
        <v>1</v>
      </c>
      <c r="L17" s="12" t="s">
        <v>1089</v>
      </c>
      <c r="N17" s="97" t="s">
        <v>975</v>
      </c>
      <c r="O17" s="1"/>
      <c r="P17" s="1"/>
      <c r="Q17" s="1"/>
      <c r="R17" s="1"/>
      <c r="S17" s="1"/>
      <c r="T17" s="1"/>
      <c r="U17" s="1"/>
      <c r="V17" s="1"/>
      <c r="W17" s="1"/>
      <c r="X17" s="1"/>
      <c r="Y17" s="1"/>
      <c r="Z17" s="1"/>
      <c r="AA17" s="1"/>
    </row>
    <row r="18" customFormat="false" ht="15" hidden="false" customHeight="true" outlineLevel="0" collapsed="false">
      <c r="A18" s="102" t="s">
        <v>589</v>
      </c>
      <c r="B18" s="112" t="n">
        <v>2</v>
      </c>
      <c r="C18" s="113" t="s">
        <v>140</v>
      </c>
      <c r="D18" s="114" t="str">
        <f aca="false">IFERROR(INDEX(値リスト!$G$25:$G$29,MATCH(C18,値リスト!$H$25:$H$29,0)),"")</f>
        <v>reactionId</v>
      </c>
      <c r="E18" s="115" t="s">
        <v>132</v>
      </c>
      <c r="F18" s="113"/>
      <c r="G18" s="114"/>
      <c r="H18" s="112"/>
      <c r="I18" s="102" t="s">
        <v>37</v>
      </c>
      <c r="J18" s="1" t="str">
        <f aca="false">IFERROR(INDEX(値リスト!$G$3:$G$11,MATCH(I18,値リスト!$H$3:$H$11,0)),"")</f>
        <v>raw</v>
      </c>
      <c r="K18" s="1" t="n">
        <v>1</v>
      </c>
      <c r="L18" s="12" t="s">
        <v>1090</v>
      </c>
      <c r="N18" s="97" t="s">
        <v>975</v>
      </c>
      <c r="O18" s="1"/>
      <c r="P18" s="1"/>
      <c r="Q18" s="1"/>
      <c r="R18" s="1"/>
      <c r="S18" s="1"/>
      <c r="T18" s="1"/>
      <c r="U18" s="1"/>
      <c r="V18" s="1"/>
      <c r="W18" s="1"/>
      <c r="X18" s="1"/>
      <c r="Y18" s="1"/>
      <c r="Z18" s="1"/>
      <c r="AA18" s="1"/>
    </row>
    <row r="19" customFormat="false" ht="15" hidden="false" customHeight="true" outlineLevel="0" collapsed="false">
      <c r="A19" s="102"/>
      <c r="B19" s="112"/>
      <c r="C19" s="113"/>
      <c r="D19" s="114"/>
      <c r="E19" s="102"/>
      <c r="F19" s="113"/>
      <c r="G19" s="114"/>
      <c r="H19" s="112"/>
      <c r="I19" s="102"/>
      <c r="J19" s="117"/>
      <c r="O19" s="1"/>
      <c r="P19" s="1"/>
      <c r="Q19" s="1"/>
      <c r="R19" s="1"/>
      <c r="S19" s="1"/>
      <c r="T19" s="1"/>
      <c r="U19" s="1"/>
      <c r="V19" s="1"/>
      <c r="W19" s="1"/>
      <c r="X19" s="1"/>
      <c r="Y19" s="1"/>
      <c r="Z19" s="1"/>
      <c r="AA19" s="1"/>
    </row>
    <row r="20" customFormat="false" ht="15" hidden="false" customHeight="true" outlineLevel="0" collapsed="false">
      <c r="A20" s="117" t="s">
        <v>593</v>
      </c>
      <c r="B20" s="117" t="n">
        <v>1</v>
      </c>
      <c r="C20" s="113" t="s">
        <v>140</v>
      </c>
      <c r="D20" s="114" t="str">
        <f aca="false">IFERROR(INDEX(値リスト!$G$25:$G$29,MATCH(C20,値リスト!$H$25:$H$29,0)),"")</f>
        <v>reactionId</v>
      </c>
      <c r="E20" s="116" t="s">
        <v>149</v>
      </c>
      <c r="F20" s="113"/>
      <c r="G20" s="114"/>
      <c r="H20" s="117"/>
      <c r="I20" s="117" t="s">
        <v>68</v>
      </c>
      <c r="J20" s="117" t="str">
        <f aca="false">IFERROR(INDEX(値リスト!$G$3:$G$11,MATCH(I20,値リスト!$H$3:$H$11,0)),"")</f>
        <v>distill</v>
      </c>
      <c r="K20" s="1" t="n">
        <v>1</v>
      </c>
      <c r="L20" s="12" t="s">
        <v>1091</v>
      </c>
      <c r="N20" s="97" t="s">
        <v>975</v>
      </c>
      <c r="O20" s="1"/>
      <c r="P20" s="1"/>
      <c r="Q20" s="1"/>
      <c r="R20" s="1"/>
      <c r="S20" s="1"/>
      <c r="T20" s="1"/>
      <c r="U20" s="1"/>
      <c r="V20" s="1"/>
      <c r="W20" s="1"/>
      <c r="X20" s="1"/>
      <c r="Y20" s="1"/>
      <c r="Z20" s="1"/>
      <c r="AA20" s="1"/>
    </row>
    <row r="21" customFormat="false" ht="15.75" hidden="false" customHeight="true" outlineLevel="0" collapsed="false">
      <c r="A21" s="102" t="s">
        <v>593</v>
      </c>
      <c r="B21" s="112" t="n">
        <v>2</v>
      </c>
      <c r="C21" s="113" t="s">
        <v>131</v>
      </c>
      <c r="D21" s="114" t="str">
        <f aca="false">IFERROR(INDEX(値リスト!$G$25:$G$29,MATCH(C21,値リスト!$H$25:$H$29,0)),"")</f>
        <v>categoryId</v>
      </c>
      <c r="E21" s="115" t="s">
        <v>8</v>
      </c>
      <c r="F21" s="113"/>
      <c r="G21" s="114"/>
      <c r="H21" s="112"/>
      <c r="I21" s="102" t="s">
        <v>65</v>
      </c>
      <c r="J21" s="117" t="str">
        <f aca="false">IFERROR(INDEX(値リスト!$G$3:$G$11,MATCH(I21,値リスト!$H$3:$H$11,0)),"")</f>
        <v>dissolve</v>
      </c>
      <c r="K21" s="1" t="n">
        <v>1</v>
      </c>
      <c r="L21" s="12" t="s">
        <v>1092</v>
      </c>
      <c r="N21" s="97" t="s">
        <v>975</v>
      </c>
      <c r="O21" s="1"/>
      <c r="P21" s="1"/>
      <c r="Q21" s="1"/>
      <c r="R21" s="1"/>
      <c r="S21" s="1"/>
      <c r="T21" s="1"/>
      <c r="U21" s="1"/>
      <c r="V21" s="1"/>
      <c r="W21" s="1"/>
      <c r="X21" s="1"/>
      <c r="Y21" s="1"/>
      <c r="Z21" s="1"/>
      <c r="AA21" s="1"/>
    </row>
    <row r="22" customFormat="false" ht="15.75" hidden="false" customHeight="true" outlineLevel="0" collapsed="false">
      <c r="A22" s="102"/>
      <c r="B22" s="112"/>
      <c r="C22" s="113"/>
      <c r="D22" s="114"/>
      <c r="E22" s="102"/>
      <c r="F22" s="113"/>
      <c r="G22" s="114"/>
      <c r="H22" s="112"/>
      <c r="I22" s="102"/>
      <c r="J22" s="117"/>
      <c r="O22" s="1"/>
      <c r="P22" s="1"/>
      <c r="Q22" s="1"/>
      <c r="R22" s="1"/>
      <c r="S22" s="1"/>
      <c r="T22" s="1"/>
      <c r="U22" s="1"/>
      <c r="V22" s="1"/>
      <c r="W22" s="1"/>
      <c r="X22" s="1"/>
      <c r="Y22" s="1"/>
      <c r="Z22" s="1"/>
      <c r="AA22" s="1"/>
    </row>
    <row r="23" customFormat="false" ht="15.75" hidden="false" customHeight="true" outlineLevel="0" collapsed="false">
      <c r="A23" s="117" t="s">
        <v>597</v>
      </c>
      <c r="B23" s="117" t="n">
        <v>1</v>
      </c>
      <c r="C23" s="113" t="s">
        <v>129</v>
      </c>
      <c r="D23" s="114" t="str">
        <f aca="false">IFERROR(INDEX(値リスト!$G$25:$G$29,MATCH(C23,値リスト!$H$25:$H$29,0)),"")</f>
        <v>itemId</v>
      </c>
      <c r="E23" s="116" t="s">
        <v>494</v>
      </c>
      <c r="F23" s="113"/>
      <c r="G23" s="114"/>
      <c r="H23" s="117"/>
      <c r="I23" s="117" t="s">
        <v>45</v>
      </c>
      <c r="J23" s="117" t="str">
        <f aca="false">IFERROR(INDEX(値リスト!$G$3:$G$11,MATCH(I23,値リスト!$H$3:$H$11,0)),"")</f>
        <v>ferment</v>
      </c>
      <c r="K23" s="1" t="n">
        <v>1</v>
      </c>
      <c r="L23" s="12" t="s">
        <v>1093</v>
      </c>
      <c r="N23" s="97" t="s">
        <v>975</v>
      </c>
      <c r="O23" s="1"/>
      <c r="P23" s="1"/>
      <c r="Q23" s="1"/>
      <c r="R23" s="1"/>
      <c r="S23" s="1"/>
      <c r="T23" s="1"/>
      <c r="U23" s="1"/>
      <c r="V23" s="1"/>
      <c r="W23" s="1"/>
      <c r="X23" s="1"/>
      <c r="Y23" s="1"/>
      <c r="Z23" s="1"/>
      <c r="AA23" s="1"/>
    </row>
    <row r="24" customFormat="false" ht="15.75" hidden="false" customHeight="true" outlineLevel="0" collapsed="false">
      <c r="A24" s="102" t="s">
        <v>597</v>
      </c>
      <c r="B24" s="112" t="n">
        <v>2</v>
      </c>
      <c r="C24" s="113" t="s">
        <v>131</v>
      </c>
      <c r="D24" s="114" t="str">
        <f aca="false">IFERROR(INDEX(値リスト!$G$25:$G$29,MATCH(C24,値リスト!$H$25:$H$29,0)),"")</f>
        <v>categoryId</v>
      </c>
      <c r="E24" s="115" t="s">
        <v>16</v>
      </c>
      <c r="F24" s="113"/>
      <c r="G24" s="114"/>
      <c r="H24" s="112"/>
      <c r="I24" s="102" t="s">
        <v>37</v>
      </c>
      <c r="J24" s="1" t="str">
        <f aca="false">IFERROR(INDEX(値リスト!$G$3:$G$11,MATCH(I24,値リスト!$H$3:$H$11,0)),"")</f>
        <v>raw</v>
      </c>
      <c r="K24" s="1" t="n">
        <v>1</v>
      </c>
      <c r="L24" s="12" t="s">
        <v>1094</v>
      </c>
      <c r="N24" s="97" t="s">
        <v>975</v>
      </c>
      <c r="O24" s="1"/>
      <c r="P24" s="1"/>
      <c r="Q24" s="1"/>
      <c r="R24" s="1"/>
      <c r="S24" s="1"/>
      <c r="T24" s="1"/>
      <c r="U24" s="1"/>
      <c r="V24" s="1"/>
      <c r="W24" s="1"/>
      <c r="X24" s="1"/>
      <c r="Y24" s="1"/>
      <c r="Z24" s="1"/>
      <c r="AA24" s="1"/>
    </row>
    <row r="25" customFormat="false" ht="15.75" hidden="false" customHeight="true" outlineLevel="0" collapsed="false">
      <c r="A25" s="102"/>
      <c r="B25" s="112"/>
      <c r="C25" s="113"/>
      <c r="D25" s="114"/>
      <c r="E25" s="102"/>
      <c r="F25" s="113"/>
      <c r="G25" s="114"/>
      <c r="H25" s="112"/>
      <c r="I25" s="102"/>
      <c r="O25" s="1"/>
      <c r="P25" s="1"/>
      <c r="Q25" s="1"/>
      <c r="R25" s="1"/>
      <c r="S25" s="1"/>
      <c r="T25" s="1"/>
      <c r="U25" s="1"/>
      <c r="V25" s="1"/>
      <c r="W25" s="1"/>
      <c r="X25" s="1"/>
      <c r="Y25" s="1"/>
      <c r="Z25" s="1"/>
      <c r="AA25" s="1"/>
    </row>
    <row r="26" customFormat="false" ht="15.75" hidden="false" customHeight="true" outlineLevel="0" collapsed="false">
      <c r="A26" s="11" t="s">
        <v>601</v>
      </c>
      <c r="B26" s="10" t="n">
        <v>1</v>
      </c>
      <c r="C26" s="98" t="s">
        <v>140</v>
      </c>
      <c r="D26" s="118" t="str">
        <f aca="false">IFERROR(INDEX(値リスト!$G$25:$G$29,MATCH(C26,値リスト!$H$25:$H$29,0)),"")</f>
        <v>reactionId</v>
      </c>
      <c r="E26" s="10" t="s">
        <v>137</v>
      </c>
      <c r="F26" s="119"/>
      <c r="G26" s="118"/>
      <c r="H26" s="10"/>
      <c r="I26" s="12" t="s">
        <v>21</v>
      </c>
      <c r="J26" s="1" t="str">
        <f aca="false">IFERROR(INDEX(値リスト!$G$3:$G$11,MATCH(I26,値リスト!$H$3:$H$11,0)),"")</f>
        <v>boil</v>
      </c>
      <c r="K26" s="1" t="n">
        <v>1</v>
      </c>
      <c r="L26" s="12" t="s">
        <v>1095</v>
      </c>
      <c r="N26" s="97" t="s">
        <v>975</v>
      </c>
      <c r="O26" s="1"/>
      <c r="P26" s="1"/>
      <c r="Q26" s="1"/>
      <c r="R26" s="1"/>
      <c r="S26" s="1"/>
      <c r="T26" s="1"/>
      <c r="U26" s="1"/>
      <c r="V26" s="1"/>
      <c r="W26" s="1"/>
      <c r="X26" s="1"/>
      <c r="Y26" s="1"/>
      <c r="Z26" s="1"/>
      <c r="AA26" s="1"/>
    </row>
    <row r="27" customFormat="false" ht="15.75" hidden="false" customHeight="true" outlineLevel="0" collapsed="false">
      <c r="A27" s="11" t="s">
        <v>601</v>
      </c>
      <c r="B27" s="10" t="n">
        <v>2</v>
      </c>
      <c r="C27" s="98" t="s">
        <v>131</v>
      </c>
      <c r="D27" s="118" t="str">
        <f aca="false">IFERROR(INDEX(値リスト!$G$25:$G$29,MATCH(C27,値リスト!$H$25:$H$29,0)),"")</f>
        <v>categoryId</v>
      </c>
      <c r="E27" s="10" t="s">
        <v>32</v>
      </c>
      <c r="F27" s="119"/>
      <c r="G27" s="118"/>
      <c r="H27" s="10"/>
      <c r="I27" s="12" t="s">
        <v>65</v>
      </c>
      <c r="J27" s="1" t="str">
        <f aca="false">IFERROR(INDEX(値リスト!$G$3:$G$11,MATCH(I27,値リスト!$H$3:$H$11,0)),"")</f>
        <v>dissolve</v>
      </c>
      <c r="K27" s="1" t="n">
        <v>1</v>
      </c>
      <c r="L27" s="12" t="s">
        <v>1096</v>
      </c>
      <c r="N27" s="97" t="s">
        <v>975</v>
      </c>
      <c r="O27" s="1"/>
      <c r="P27" s="1"/>
      <c r="Q27" s="1"/>
      <c r="R27" s="1"/>
      <c r="S27" s="1"/>
      <c r="T27" s="1"/>
      <c r="U27" s="1"/>
      <c r="V27" s="1"/>
      <c r="W27" s="1"/>
      <c r="X27" s="1"/>
      <c r="Y27" s="1"/>
      <c r="Z27" s="1"/>
      <c r="AA27" s="1"/>
    </row>
    <row r="28" customFormat="false" ht="15.75" hidden="false" customHeight="true" outlineLevel="0" collapsed="false">
      <c r="A28" s="10"/>
      <c r="B28" s="10"/>
      <c r="C28" s="119"/>
      <c r="D28" s="118"/>
      <c r="E28" s="10"/>
      <c r="F28" s="119"/>
      <c r="G28" s="118"/>
      <c r="H28" s="10"/>
      <c r="O28" s="1"/>
      <c r="P28" s="1"/>
      <c r="Q28" s="1"/>
      <c r="R28" s="1"/>
      <c r="S28" s="1"/>
      <c r="T28" s="1"/>
      <c r="U28" s="1"/>
      <c r="V28" s="1"/>
      <c r="W28" s="1"/>
      <c r="X28" s="1"/>
      <c r="Y28" s="1"/>
      <c r="Z28" s="1"/>
      <c r="AA28" s="1"/>
    </row>
    <row r="29" customFormat="false" ht="15.75" hidden="false" customHeight="true" outlineLevel="0" collapsed="false">
      <c r="A29" s="11" t="s">
        <v>757</v>
      </c>
      <c r="B29" s="10" t="n">
        <v>1</v>
      </c>
      <c r="C29" s="98" t="s">
        <v>131</v>
      </c>
      <c r="D29" s="118" t="str">
        <f aca="false">IFERROR(INDEX(値リスト!$G$25:$G$29,MATCH(C29,値リスト!$H$25:$H$29,0)),"")</f>
        <v>categoryId</v>
      </c>
      <c r="E29" s="10" t="s">
        <v>8</v>
      </c>
      <c r="F29" s="98" t="s">
        <v>136</v>
      </c>
      <c r="G29" s="118" t="str">
        <f aca="false">IFERROR(INDEX(値リスト!$G$25:$G$29,MATCH(F29,値リスト!$H$25:$H$29,0)),"")</f>
        <v>effectId</v>
      </c>
      <c r="H29" s="10" t="s">
        <v>71</v>
      </c>
      <c r="I29" s="12" t="s">
        <v>21</v>
      </c>
      <c r="J29" s="1" t="str">
        <f aca="false">IFERROR(INDEX(値リスト!$G$3:$G$11,MATCH(I29,値リスト!$H$3:$H$11,0)),"")</f>
        <v>boil</v>
      </c>
      <c r="K29" s="1" t="n">
        <v>1</v>
      </c>
      <c r="L29" s="12" t="s">
        <v>1097</v>
      </c>
      <c r="N29" s="97" t="s">
        <v>975</v>
      </c>
      <c r="O29" s="1"/>
      <c r="P29" s="1"/>
      <c r="Q29" s="1"/>
      <c r="R29" s="1"/>
      <c r="S29" s="1"/>
      <c r="T29" s="1"/>
      <c r="U29" s="1"/>
      <c r="V29" s="1"/>
      <c r="W29" s="1"/>
      <c r="X29" s="1"/>
      <c r="Y29" s="1"/>
      <c r="Z29" s="1"/>
      <c r="AA29" s="1"/>
    </row>
    <row r="30" customFormat="false" ht="15.75" hidden="false" customHeight="true" outlineLevel="0" collapsed="false">
      <c r="A30" s="11" t="s">
        <v>757</v>
      </c>
      <c r="B30" s="10" t="n">
        <v>2</v>
      </c>
      <c r="C30" s="98" t="s">
        <v>131</v>
      </c>
      <c r="D30" s="118" t="str">
        <f aca="false">IFERROR(INDEX(値リスト!$G$25:$G$29,MATCH(C30,値リスト!$H$25:$H$29,0)),"")</f>
        <v>categoryId</v>
      </c>
      <c r="E30" s="10" t="s">
        <v>24</v>
      </c>
      <c r="F30" s="119"/>
      <c r="G30" s="118"/>
      <c r="H30" s="10"/>
      <c r="I30" s="12" t="s">
        <v>37</v>
      </c>
      <c r="J30" s="1" t="str">
        <f aca="false">IFERROR(INDEX(値リスト!$G$3:$G$11,MATCH(I30,値リスト!$H$3:$H$11,0)),"")</f>
        <v>raw</v>
      </c>
      <c r="K30" s="1" t="n">
        <v>1</v>
      </c>
      <c r="L30" s="12" t="s">
        <v>1098</v>
      </c>
      <c r="N30" s="97" t="s">
        <v>975</v>
      </c>
      <c r="O30" s="1"/>
      <c r="P30" s="1"/>
      <c r="Q30" s="1"/>
      <c r="R30" s="1"/>
      <c r="S30" s="1"/>
      <c r="T30" s="1"/>
      <c r="U30" s="1"/>
      <c r="V30" s="1"/>
      <c r="W30" s="1"/>
      <c r="X30" s="1"/>
      <c r="Y30" s="1"/>
      <c r="Z30" s="1"/>
      <c r="AA30" s="1"/>
    </row>
    <row r="31" customFormat="false" ht="15.75" hidden="false" customHeight="true" outlineLevel="0" collapsed="false">
      <c r="A31" s="10"/>
      <c r="B31" s="10"/>
      <c r="C31" s="119"/>
      <c r="D31" s="118"/>
      <c r="E31" s="10"/>
      <c r="F31" s="119"/>
      <c r="G31" s="118"/>
      <c r="H31" s="10"/>
      <c r="O31" s="1"/>
      <c r="P31" s="1"/>
      <c r="Q31" s="1"/>
      <c r="R31" s="1"/>
      <c r="S31" s="1"/>
      <c r="T31" s="1"/>
      <c r="U31" s="1"/>
      <c r="V31" s="1"/>
      <c r="W31" s="1"/>
      <c r="X31" s="1"/>
      <c r="Y31" s="1"/>
      <c r="Z31" s="1"/>
      <c r="AA31" s="1"/>
    </row>
    <row r="32" customFormat="false" ht="15.75" hidden="false" customHeight="true" outlineLevel="0" collapsed="false">
      <c r="A32" s="10"/>
      <c r="B32" s="10"/>
      <c r="C32" s="119"/>
      <c r="D32" s="118"/>
      <c r="E32" s="10"/>
      <c r="F32" s="119"/>
      <c r="G32" s="118"/>
      <c r="H32" s="10"/>
      <c r="O32" s="1"/>
      <c r="P32" s="1"/>
      <c r="Q32" s="1"/>
      <c r="R32" s="1"/>
      <c r="S32" s="1"/>
      <c r="T32" s="1"/>
      <c r="U32" s="1"/>
      <c r="V32" s="1"/>
      <c r="W32" s="1"/>
      <c r="X32" s="1"/>
      <c r="Y32" s="1"/>
      <c r="Z32" s="1"/>
      <c r="AA32" s="1"/>
    </row>
    <row r="33" customFormat="false" ht="15.75" hidden="false" customHeight="true" outlineLevel="0" collapsed="false">
      <c r="A33" s="10"/>
      <c r="B33" s="10"/>
      <c r="C33" s="119"/>
      <c r="D33" s="118"/>
      <c r="E33" s="10"/>
      <c r="F33" s="119"/>
      <c r="G33" s="118"/>
      <c r="H33" s="10"/>
      <c r="O33" s="1"/>
      <c r="P33" s="1"/>
      <c r="Q33" s="1"/>
      <c r="R33" s="1"/>
      <c r="S33" s="1"/>
      <c r="T33" s="1"/>
      <c r="U33" s="1"/>
      <c r="V33" s="1"/>
      <c r="W33" s="1"/>
      <c r="X33" s="1"/>
      <c r="Y33" s="1"/>
      <c r="Z33" s="1"/>
      <c r="AA33" s="1"/>
    </row>
    <row r="34" customFormat="false" ht="15.75" hidden="false" customHeight="true" outlineLevel="0" collapsed="false">
      <c r="A34" s="10"/>
      <c r="B34" s="10"/>
      <c r="C34" s="119"/>
      <c r="D34" s="118"/>
      <c r="E34" s="10"/>
      <c r="F34" s="119"/>
      <c r="G34" s="118"/>
      <c r="H34" s="10"/>
      <c r="O34" s="1"/>
      <c r="P34" s="1"/>
      <c r="Q34" s="1"/>
      <c r="R34" s="1"/>
      <c r="S34" s="1"/>
      <c r="T34" s="1"/>
      <c r="U34" s="1"/>
      <c r="V34" s="1"/>
      <c r="W34" s="1"/>
      <c r="X34" s="1"/>
      <c r="Y34" s="1"/>
      <c r="Z34" s="1"/>
      <c r="AA34" s="1"/>
    </row>
    <row r="35" customFormat="false" ht="15.75" hidden="false" customHeight="true" outlineLevel="0" collapsed="false">
      <c r="A35" s="11" t="s">
        <v>760</v>
      </c>
      <c r="B35" s="10" t="n">
        <v>1</v>
      </c>
      <c r="C35" s="98" t="s">
        <v>136</v>
      </c>
      <c r="D35" s="118" t="str">
        <f aca="false">IFERROR(INDEX(値リスト!$G$25:$G$29,MATCH(C35,値リスト!$H$25:$H$29,0)),"")</f>
        <v>effectId</v>
      </c>
      <c r="E35" s="10" t="s">
        <v>91</v>
      </c>
      <c r="F35" s="119"/>
      <c r="G35" s="118"/>
      <c r="H35" s="10"/>
      <c r="I35" s="12" t="s">
        <v>21</v>
      </c>
      <c r="J35" s="1" t="str">
        <f aca="false">IFERROR(INDEX(値リスト!$G$3:$G$11,MATCH(I35,値リスト!$H$3:$H$11,0)),"")</f>
        <v>boil</v>
      </c>
      <c r="K35" s="1" t="n">
        <v>1</v>
      </c>
      <c r="L35" s="12" t="s">
        <v>1099</v>
      </c>
      <c r="N35" s="97" t="s">
        <v>125</v>
      </c>
      <c r="O35" s="1"/>
      <c r="P35" s="1"/>
      <c r="Q35" s="1"/>
      <c r="R35" s="1"/>
      <c r="S35" s="1"/>
      <c r="T35" s="1"/>
      <c r="U35" s="1"/>
      <c r="V35" s="1"/>
      <c r="W35" s="1"/>
      <c r="X35" s="1"/>
      <c r="Y35" s="1"/>
      <c r="Z35" s="1"/>
      <c r="AA35" s="1"/>
    </row>
    <row r="36" customFormat="false" ht="15.75" hidden="false" customHeight="true" outlineLevel="0" collapsed="false">
      <c r="A36" s="11" t="s">
        <v>760</v>
      </c>
      <c r="B36" s="10" t="n">
        <v>2</v>
      </c>
      <c r="C36" s="98" t="s">
        <v>140</v>
      </c>
      <c r="D36" s="118" t="str">
        <f aca="false">IFERROR(INDEX(値リスト!$G$25:$G$29,MATCH(C36,値リスト!$H$25:$H$29,0)),"")</f>
        <v>reactionId</v>
      </c>
      <c r="E36" s="10" t="s">
        <v>132</v>
      </c>
      <c r="F36" s="119"/>
      <c r="G36" s="118"/>
      <c r="H36" s="10"/>
      <c r="I36" s="12" t="s">
        <v>37</v>
      </c>
      <c r="J36" s="1" t="str">
        <f aca="false">IFERROR(INDEX(値リスト!$G$3:$G$11,MATCH(I36,値リスト!$H$3:$H$11,0)),"")</f>
        <v>raw</v>
      </c>
      <c r="K36" s="1" t="n">
        <v>1</v>
      </c>
      <c r="L36" s="12" t="s">
        <v>1100</v>
      </c>
      <c r="N36" s="97" t="s">
        <v>125</v>
      </c>
      <c r="O36" s="1"/>
      <c r="P36" s="1"/>
      <c r="Q36" s="1"/>
      <c r="R36" s="1"/>
      <c r="S36" s="1"/>
      <c r="T36" s="1"/>
      <c r="U36" s="1"/>
      <c r="V36" s="1"/>
      <c r="W36" s="1"/>
      <c r="X36" s="1"/>
      <c r="Y36" s="1"/>
      <c r="Z36" s="1"/>
      <c r="AA36" s="1"/>
    </row>
    <row r="37" customFormat="false" ht="15.75" hidden="false" customHeight="true" outlineLevel="0" collapsed="false">
      <c r="A37" s="11" t="s">
        <v>760</v>
      </c>
      <c r="B37" s="10" t="n">
        <v>3</v>
      </c>
      <c r="C37" s="98" t="s">
        <v>131</v>
      </c>
      <c r="D37" s="118" t="str">
        <f aca="false">IFERROR(INDEX(値リスト!$G$25:$G$29,MATCH(C37,値リスト!$H$25:$H$29,0)),"")</f>
        <v>categoryId</v>
      </c>
      <c r="E37" s="10" t="s">
        <v>24</v>
      </c>
      <c r="F37" s="119"/>
      <c r="G37" s="118"/>
      <c r="H37" s="10"/>
      <c r="I37" s="12" t="s">
        <v>37</v>
      </c>
      <c r="J37" s="1" t="str">
        <f aca="false">IFERROR(INDEX(値リスト!$G$3:$G$11,MATCH(I37,値リスト!$H$3:$H$11,0)),"")</f>
        <v>raw</v>
      </c>
      <c r="K37" s="1" t="n">
        <v>1</v>
      </c>
      <c r="L37" s="12" t="s">
        <v>1101</v>
      </c>
      <c r="N37" s="97" t="s">
        <v>125</v>
      </c>
      <c r="O37" s="1"/>
      <c r="P37" s="1"/>
      <c r="Q37" s="1"/>
      <c r="R37" s="1"/>
      <c r="S37" s="1"/>
      <c r="T37" s="1"/>
      <c r="U37" s="1"/>
      <c r="V37" s="1"/>
      <c r="W37" s="1"/>
      <c r="X37" s="1"/>
      <c r="Y37" s="1"/>
      <c r="Z37" s="1"/>
      <c r="AA37" s="1"/>
    </row>
    <row r="38" customFormat="false" ht="15.75" hidden="false" customHeight="true" outlineLevel="0" collapsed="false">
      <c r="A38" s="10"/>
      <c r="B38" s="10"/>
      <c r="C38" s="119"/>
      <c r="D38" s="118"/>
      <c r="E38" s="10"/>
      <c r="F38" s="119"/>
      <c r="G38" s="118"/>
      <c r="H38" s="10"/>
      <c r="O38" s="1"/>
      <c r="P38" s="1"/>
      <c r="Q38" s="1"/>
      <c r="R38" s="1"/>
      <c r="S38" s="1"/>
      <c r="T38" s="1"/>
      <c r="U38" s="1"/>
      <c r="V38" s="1"/>
      <c r="W38" s="1"/>
      <c r="X38" s="1"/>
      <c r="Y38" s="1"/>
      <c r="Z38" s="1"/>
      <c r="AA38" s="1"/>
    </row>
    <row r="39" customFormat="false" ht="15.75" hidden="false" customHeight="true" outlineLevel="0" collapsed="false">
      <c r="A39" s="11" t="s">
        <v>763</v>
      </c>
      <c r="B39" s="10" t="n">
        <v>1</v>
      </c>
      <c r="C39" s="98" t="s">
        <v>129</v>
      </c>
      <c r="D39" s="118" t="str">
        <f aca="false">IFERROR(INDEX(値リスト!$G$25:$G$29,MATCH(C39,値リスト!$H$25:$H$29,0)),"")</f>
        <v>itemId</v>
      </c>
      <c r="E39" s="10" t="s">
        <v>537</v>
      </c>
      <c r="F39" s="119"/>
      <c r="G39" s="118"/>
      <c r="H39" s="10"/>
      <c r="I39" s="12" t="s">
        <v>13</v>
      </c>
      <c r="J39" s="1" t="str">
        <f aca="false">IFERROR(INDEX(値リスト!$G$3:$G$11,MATCH(I39,値リスト!$H$3:$H$11,0)),"")</f>
        <v>grind</v>
      </c>
      <c r="K39" s="1" t="n">
        <v>1</v>
      </c>
      <c r="L39" s="12" t="s">
        <v>1102</v>
      </c>
      <c r="N39" s="97" t="s">
        <v>125</v>
      </c>
      <c r="O39" s="1"/>
      <c r="P39" s="1"/>
      <c r="Q39" s="1"/>
      <c r="R39" s="1"/>
      <c r="S39" s="1"/>
      <c r="T39" s="1"/>
      <c r="U39" s="1"/>
      <c r="V39" s="1"/>
      <c r="W39" s="1"/>
      <c r="X39" s="1"/>
      <c r="Y39" s="1"/>
      <c r="Z39" s="1"/>
      <c r="AA39" s="1"/>
    </row>
    <row r="40" customFormat="false" ht="15.75" hidden="false" customHeight="true" outlineLevel="0" collapsed="false">
      <c r="A40" s="11" t="s">
        <v>763</v>
      </c>
      <c r="B40" s="10" t="n">
        <v>2</v>
      </c>
      <c r="C40" s="98" t="s">
        <v>140</v>
      </c>
      <c r="D40" s="118" t="str">
        <f aca="false">IFERROR(INDEX(値リスト!$G$25:$G$29,MATCH(C40,値リスト!$H$25:$H$29,0)),"")</f>
        <v>reactionId</v>
      </c>
      <c r="E40" s="10" t="s">
        <v>146</v>
      </c>
      <c r="F40" s="119"/>
      <c r="G40" s="118"/>
      <c r="H40" s="10"/>
      <c r="I40" s="12" t="s">
        <v>37</v>
      </c>
      <c r="J40" s="1" t="str">
        <f aca="false">IFERROR(INDEX(値リスト!$G$3:$G$11,MATCH(I40,値リスト!$H$3:$H$11,0)),"")</f>
        <v>raw</v>
      </c>
      <c r="K40" s="1" t="n">
        <v>1</v>
      </c>
      <c r="L40" s="12" t="s">
        <v>1103</v>
      </c>
      <c r="N40" s="97" t="s">
        <v>125</v>
      </c>
      <c r="O40" s="1"/>
      <c r="P40" s="1"/>
      <c r="Q40" s="1"/>
      <c r="R40" s="1"/>
      <c r="S40" s="1"/>
      <c r="T40" s="1"/>
      <c r="U40" s="1"/>
      <c r="V40" s="1"/>
      <c r="W40" s="1"/>
      <c r="X40" s="1"/>
      <c r="Y40" s="1"/>
      <c r="Z40" s="1"/>
      <c r="AA40" s="1"/>
    </row>
    <row r="41" customFormat="false" ht="15.75" hidden="false" customHeight="true" outlineLevel="0" collapsed="false">
      <c r="A41" s="10"/>
      <c r="B41" s="10"/>
      <c r="C41" s="119"/>
      <c r="D41" s="118"/>
      <c r="E41" s="10"/>
      <c r="F41" s="119"/>
      <c r="G41" s="118"/>
      <c r="H41" s="10"/>
      <c r="O41" s="1"/>
      <c r="P41" s="1"/>
      <c r="Q41" s="1"/>
      <c r="R41" s="1"/>
      <c r="S41" s="1"/>
      <c r="T41" s="1"/>
      <c r="U41" s="1"/>
      <c r="V41" s="1"/>
      <c r="W41" s="1"/>
      <c r="X41" s="1"/>
      <c r="Y41" s="1"/>
      <c r="Z41" s="1"/>
      <c r="AA41" s="1"/>
    </row>
    <row r="42" customFormat="false" ht="15.75" hidden="false" customHeight="true" outlineLevel="0" collapsed="false">
      <c r="A42" s="11" t="s">
        <v>766</v>
      </c>
      <c r="B42" s="10" t="n">
        <v>1</v>
      </c>
      <c r="C42" s="98" t="s">
        <v>136</v>
      </c>
      <c r="D42" s="118" t="str">
        <f aca="false">IFERROR(INDEX(値リスト!$G$25:$G$29,MATCH(C42,値リスト!$H$25:$H$29,0)),"")</f>
        <v>effectId</v>
      </c>
      <c r="E42" s="10" t="s">
        <v>79</v>
      </c>
      <c r="F42" s="119"/>
      <c r="G42" s="118"/>
      <c r="H42" s="10"/>
      <c r="I42" s="12" t="s">
        <v>21</v>
      </c>
      <c r="J42" s="1" t="str">
        <f aca="false">IFERROR(INDEX(値リスト!$G$3:$G$11,MATCH(I42,値リスト!$H$3:$H$11,0)),"")</f>
        <v>boil</v>
      </c>
      <c r="K42" s="1" t="n">
        <v>1</v>
      </c>
      <c r="L42" s="12" t="s">
        <v>1104</v>
      </c>
      <c r="N42" s="97" t="s">
        <v>975</v>
      </c>
      <c r="O42" s="1"/>
      <c r="P42" s="1"/>
      <c r="Q42" s="1"/>
      <c r="R42" s="1"/>
      <c r="S42" s="1"/>
      <c r="T42" s="1"/>
      <c r="U42" s="1"/>
      <c r="V42" s="1"/>
      <c r="W42" s="1"/>
      <c r="X42" s="1"/>
      <c r="Y42" s="1"/>
      <c r="Z42" s="1"/>
      <c r="AA42" s="1"/>
    </row>
    <row r="43" customFormat="false" ht="15.75" hidden="false" customHeight="true" outlineLevel="0" collapsed="false">
      <c r="A43" s="11" t="s">
        <v>766</v>
      </c>
      <c r="B43" s="10" t="n">
        <v>2</v>
      </c>
      <c r="C43" s="98" t="s">
        <v>140</v>
      </c>
      <c r="D43" s="118" t="str">
        <f aca="false">IFERROR(INDEX(値リスト!$G$25:$G$29,MATCH(C43,値リスト!$H$25:$H$29,0)),"")</f>
        <v>reactionId</v>
      </c>
      <c r="E43" s="10" t="s">
        <v>149</v>
      </c>
      <c r="F43" s="119"/>
      <c r="G43" s="118"/>
      <c r="H43" s="10"/>
      <c r="I43" s="12" t="s">
        <v>37</v>
      </c>
      <c r="J43" s="1" t="str">
        <f aca="false">IFERROR(INDEX(値リスト!$G$3:$G$11,MATCH(I43,値リスト!$H$3:$H$11,0)),"")</f>
        <v>raw</v>
      </c>
      <c r="K43" s="1" t="n">
        <v>1</v>
      </c>
      <c r="L43" s="12" t="s">
        <v>1105</v>
      </c>
      <c r="N43" s="97" t="s">
        <v>975</v>
      </c>
      <c r="O43" s="1"/>
      <c r="P43" s="1"/>
      <c r="Q43" s="1"/>
      <c r="R43" s="1"/>
      <c r="S43" s="1"/>
      <c r="T43" s="1"/>
      <c r="U43" s="1"/>
      <c r="V43" s="1"/>
      <c r="W43" s="1"/>
      <c r="X43" s="1"/>
      <c r="Y43" s="1"/>
      <c r="Z43" s="1"/>
      <c r="AA43" s="1"/>
    </row>
    <row r="44" customFormat="false" ht="15.75" hidden="false" customHeight="true" outlineLevel="0" collapsed="false">
      <c r="A44" s="11" t="s">
        <v>766</v>
      </c>
      <c r="B44" s="10" t="n">
        <v>3</v>
      </c>
      <c r="C44" s="98" t="s">
        <v>129</v>
      </c>
      <c r="D44" s="118" t="str">
        <f aca="false">IFERROR(INDEX(値リスト!$G$25:$G$29,MATCH(C44,値リスト!$H$25:$H$29,0)),"")</f>
        <v>itemId</v>
      </c>
      <c r="E44" s="10" t="s">
        <v>502</v>
      </c>
      <c r="F44" s="119"/>
      <c r="G44" s="118"/>
      <c r="H44" s="10"/>
      <c r="I44" s="12" t="s">
        <v>37</v>
      </c>
      <c r="J44" s="1" t="str">
        <f aca="false">IFERROR(INDEX(値リスト!$G$3:$G$11,MATCH(I44,値リスト!$H$3:$H$11,0)),"")</f>
        <v>raw</v>
      </c>
      <c r="K44" s="1" t="n">
        <v>1</v>
      </c>
      <c r="L44" s="12" t="s">
        <v>1106</v>
      </c>
      <c r="N44" s="97" t="s">
        <v>975</v>
      </c>
      <c r="O44" s="1"/>
      <c r="P44" s="1"/>
      <c r="Q44" s="1"/>
      <c r="R44" s="1"/>
      <c r="S44" s="1"/>
      <c r="T44" s="1"/>
      <c r="U44" s="1"/>
      <c r="V44" s="1"/>
      <c r="W44" s="1"/>
      <c r="X44" s="1"/>
      <c r="Y44" s="1"/>
      <c r="Z44" s="1"/>
      <c r="AA44" s="1"/>
    </row>
    <row r="45" customFormat="false" ht="15.75" hidden="false" customHeight="true" outlineLevel="0" collapsed="false">
      <c r="A45" s="10"/>
      <c r="B45" s="10"/>
      <c r="C45" s="119"/>
      <c r="D45" s="118"/>
      <c r="E45" s="10"/>
      <c r="F45" s="119"/>
      <c r="G45" s="118"/>
      <c r="H45" s="10"/>
      <c r="O45" s="1"/>
      <c r="P45" s="1"/>
      <c r="Q45" s="1"/>
      <c r="R45" s="1"/>
      <c r="S45" s="1"/>
      <c r="T45" s="1"/>
      <c r="U45" s="1"/>
      <c r="V45" s="1"/>
      <c r="W45" s="1"/>
      <c r="X45" s="1"/>
      <c r="Y45" s="1"/>
      <c r="Z45" s="1"/>
      <c r="AA45" s="1"/>
    </row>
    <row r="46" customFormat="false" ht="15.75" hidden="false" customHeight="true" outlineLevel="0" collapsed="false">
      <c r="A46" s="11" t="s">
        <v>769</v>
      </c>
      <c r="B46" s="10" t="n">
        <v>1</v>
      </c>
      <c r="C46" s="98" t="s">
        <v>136</v>
      </c>
      <c r="D46" s="118" t="str">
        <f aca="false">IFERROR(INDEX(値リスト!$G$25:$G$29,MATCH(C46,値リスト!$H$25:$H$29,0)),"")</f>
        <v>effectId</v>
      </c>
      <c r="E46" s="10" t="s">
        <v>115</v>
      </c>
      <c r="F46" s="119"/>
      <c r="G46" s="118"/>
      <c r="H46" s="10"/>
      <c r="I46" s="12" t="s">
        <v>29</v>
      </c>
      <c r="J46" s="1" t="str">
        <f aca="false">IFERROR(INDEX(値リスト!$G$3:$G$11,MATCH(I46,値リスト!$H$3:$H$11,0)),"")</f>
        <v>dry</v>
      </c>
      <c r="K46" s="1" t="n">
        <v>1</v>
      </c>
      <c r="L46" s="12" t="s">
        <v>1107</v>
      </c>
      <c r="N46" s="97" t="s">
        <v>125</v>
      </c>
      <c r="O46" s="1"/>
      <c r="P46" s="1"/>
      <c r="Q46" s="1"/>
      <c r="R46" s="1"/>
      <c r="S46" s="1"/>
      <c r="T46" s="1"/>
      <c r="U46" s="1"/>
      <c r="V46" s="1"/>
      <c r="W46" s="1"/>
      <c r="X46" s="1"/>
      <c r="Y46" s="1"/>
      <c r="Z46" s="1"/>
      <c r="AA46" s="1"/>
    </row>
    <row r="47" customFormat="false" ht="15.75" hidden="false" customHeight="true" outlineLevel="0" collapsed="false">
      <c r="A47" s="11" t="s">
        <v>769</v>
      </c>
      <c r="B47" s="10" t="n">
        <v>2</v>
      </c>
      <c r="C47" s="98" t="s">
        <v>140</v>
      </c>
      <c r="D47" s="118" t="str">
        <f aca="false">IFERROR(INDEX(値リスト!$G$25:$G$29,MATCH(C47,値リスト!$H$25:$H$29,0)),"")</f>
        <v>reactionId</v>
      </c>
      <c r="E47" s="10" t="s">
        <v>146</v>
      </c>
      <c r="F47" s="119"/>
      <c r="G47" s="118"/>
      <c r="H47" s="10"/>
      <c r="I47" s="12" t="s">
        <v>37</v>
      </c>
      <c r="J47" s="1" t="str">
        <f aca="false">IFERROR(INDEX(値リスト!$G$3:$G$11,MATCH(I47,値リスト!$H$3:$H$11,0)),"")</f>
        <v>raw</v>
      </c>
      <c r="K47" s="1" t="n">
        <v>1</v>
      </c>
      <c r="L47" s="12" t="s">
        <v>1108</v>
      </c>
      <c r="N47" s="97" t="s">
        <v>125</v>
      </c>
      <c r="O47" s="1"/>
      <c r="P47" s="1"/>
      <c r="Q47" s="1"/>
      <c r="R47" s="1"/>
      <c r="S47" s="1"/>
      <c r="T47" s="1"/>
      <c r="U47" s="1"/>
      <c r="V47" s="1"/>
      <c r="W47" s="1"/>
      <c r="X47" s="1"/>
      <c r="Y47" s="1"/>
      <c r="Z47" s="1"/>
      <c r="AA47" s="1"/>
    </row>
    <row r="48" customFormat="false" ht="15.75" hidden="false" customHeight="true" outlineLevel="0" collapsed="false">
      <c r="A48" s="11" t="s">
        <v>769</v>
      </c>
      <c r="B48" s="10" t="n">
        <v>3</v>
      </c>
      <c r="C48" s="98" t="s">
        <v>129</v>
      </c>
      <c r="D48" s="118" t="str">
        <f aca="false">IFERROR(INDEX(値リスト!$G$25:$G$29,MATCH(C48,値リスト!$H$25:$H$29,0)),"")</f>
        <v>itemId</v>
      </c>
      <c r="E48" s="10" t="s">
        <v>406</v>
      </c>
      <c r="F48" s="119"/>
      <c r="G48" s="118"/>
      <c r="H48" s="10"/>
      <c r="I48" s="12" t="s">
        <v>37</v>
      </c>
      <c r="J48" s="1" t="str">
        <f aca="false">IFERROR(INDEX(値リスト!$G$3:$G$11,MATCH(I48,値リスト!$H$3:$H$11,0)),"")</f>
        <v>raw</v>
      </c>
      <c r="K48" s="1" t="n">
        <v>1</v>
      </c>
      <c r="L48" s="12" t="s">
        <v>1109</v>
      </c>
      <c r="N48" s="97" t="s">
        <v>125</v>
      </c>
      <c r="O48" s="1"/>
      <c r="P48" s="1"/>
      <c r="Q48" s="1"/>
      <c r="R48" s="1"/>
      <c r="S48" s="1"/>
      <c r="T48" s="1"/>
      <c r="U48" s="1"/>
      <c r="V48" s="1"/>
      <c r="W48" s="1"/>
      <c r="X48" s="1"/>
      <c r="Y48" s="1"/>
      <c r="Z48" s="1"/>
      <c r="AA48" s="1"/>
    </row>
    <row r="49" customFormat="false" ht="15.75" hidden="false" customHeight="true" outlineLevel="0" collapsed="false">
      <c r="A49" s="10"/>
      <c r="B49" s="10"/>
      <c r="C49" s="119"/>
      <c r="D49" s="118"/>
      <c r="E49" s="10"/>
      <c r="F49" s="119"/>
      <c r="G49" s="118"/>
      <c r="H49" s="10"/>
      <c r="O49" s="1"/>
      <c r="P49" s="1"/>
      <c r="Q49" s="1"/>
      <c r="R49" s="1"/>
      <c r="S49" s="1"/>
      <c r="T49" s="1"/>
      <c r="U49" s="1"/>
      <c r="V49" s="1"/>
      <c r="W49" s="1"/>
      <c r="X49" s="1"/>
      <c r="Y49" s="1"/>
      <c r="Z49" s="1"/>
      <c r="AA49" s="1"/>
    </row>
    <row r="50" customFormat="false" ht="15.75" hidden="false" customHeight="true" outlineLevel="0" collapsed="false">
      <c r="A50" s="14" t="s">
        <v>773</v>
      </c>
      <c r="B50" s="13" t="n">
        <v>1</v>
      </c>
      <c r="C50" s="98" t="s">
        <v>129</v>
      </c>
      <c r="D50" s="101" t="str">
        <f aca="false">IFERROR(INDEX(値リスト!$G$25:$G$29,MATCH(C50,値リスト!$H$25:$H$29,0)),"")</f>
        <v>itemId</v>
      </c>
      <c r="E50" s="13" t="s">
        <v>662</v>
      </c>
      <c r="F50" s="98"/>
      <c r="G50" s="101"/>
      <c r="H50" s="13"/>
      <c r="I50" s="12" t="s">
        <v>37</v>
      </c>
      <c r="J50" s="1" t="str">
        <f aca="false">IFERROR(INDEX(値リスト!$G$3:$G$11,MATCH(I50,値リスト!$H$3:$H$11,0)),"")</f>
        <v>raw</v>
      </c>
      <c r="K50" s="1" t="n">
        <v>1</v>
      </c>
      <c r="L50" s="12" t="s">
        <v>1110</v>
      </c>
      <c r="N50" s="97" t="s">
        <v>975</v>
      </c>
      <c r="O50" s="1"/>
      <c r="P50" s="1"/>
      <c r="Q50" s="1"/>
      <c r="R50" s="1"/>
      <c r="S50" s="1"/>
      <c r="T50" s="1"/>
      <c r="U50" s="1"/>
      <c r="V50" s="1"/>
      <c r="W50" s="1"/>
      <c r="X50" s="1"/>
      <c r="Y50" s="1"/>
      <c r="Z50" s="1"/>
      <c r="AA50" s="1"/>
    </row>
    <row r="51" customFormat="false" ht="15.75" hidden="false" customHeight="true" outlineLevel="0" collapsed="false">
      <c r="A51" s="14" t="s">
        <v>773</v>
      </c>
      <c r="B51" s="13" t="n">
        <v>2</v>
      </c>
      <c r="C51" s="98" t="s">
        <v>140</v>
      </c>
      <c r="D51" s="101" t="str">
        <f aca="false">IFERROR(INDEX(値リスト!$G$25:$G$29,MATCH(C51,値リスト!$H$25:$H$29,0)),"")</f>
        <v>reactionId</v>
      </c>
      <c r="E51" s="13" t="s">
        <v>155</v>
      </c>
      <c r="F51" s="98"/>
      <c r="G51" s="101"/>
      <c r="H51" s="13"/>
      <c r="I51" s="12" t="s">
        <v>21</v>
      </c>
      <c r="J51" s="1" t="str">
        <f aca="false">IFERROR(INDEX(値リスト!$G$3:$G$11,MATCH(I51,値リスト!$H$3:$H$11,0)),"")</f>
        <v>boil</v>
      </c>
      <c r="K51" s="1" t="n">
        <v>1</v>
      </c>
      <c r="L51" s="12" t="s">
        <v>1111</v>
      </c>
      <c r="N51" s="97" t="s">
        <v>975</v>
      </c>
      <c r="O51" s="1"/>
      <c r="P51" s="1"/>
      <c r="Q51" s="1"/>
      <c r="R51" s="1"/>
      <c r="S51" s="1"/>
      <c r="T51" s="1"/>
      <c r="U51" s="1"/>
      <c r="V51" s="1"/>
      <c r="W51" s="1"/>
      <c r="X51" s="1"/>
      <c r="Y51" s="1"/>
      <c r="Z51" s="1"/>
      <c r="AA51" s="1"/>
    </row>
    <row r="52" customFormat="false" ht="15.75" hidden="false" customHeight="true" outlineLevel="0" collapsed="false">
      <c r="A52" s="14" t="s">
        <v>773</v>
      </c>
      <c r="B52" s="13" t="n">
        <v>3</v>
      </c>
      <c r="C52" s="98" t="s">
        <v>129</v>
      </c>
      <c r="D52" s="101" t="str">
        <f aca="false">IFERROR(INDEX(値リスト!$G$25:$G$29,MATCH(C52,値リスト!$H$25:$H$29,0)),"")</f>
        <v>itemId</v>
      </c>
      <c r="E52" s="13" t="s">
        <v>585</v>
      </c>
      <c r="F52" s="98"/>
      <c r="G52" s="101"/>
      <c r="H52" s="13"/>
      <c r="I52" s="12" t="s">
        <v>37</v>
      </c>
      <c r="J52" s="1" t="str">
        <f aca="false">IFERROR(INDEX(値リスト!$G$3:$G$11,MATCH(I52,値リスト!$H$3:$H$11,0)),"")</f>
        <v>raw</v>
      </c>
      <c r="K52" s="1" t="n">
        <v>1</v>
      </c>
      <c r="L52" s="12" t="s">
        <v>1112</v>
      </c>
      <c r="N52" s="97" t="s">
        <v>975</v>
      </c>
      <c r="O52" s="1"/>
      <c r="P52" s="1"/>
      <c r="Q52" s="1"/>
      <c r="R52" s="1"/>
      <c r="S52" s="1"/>
      <c r="T52" s="1"/>
      <c r="U52" s="1"/>
      <c r="V52" s="1"/>
      <c r="W52" s="1"/>
      <c r="X52" s="1"/>
      <c r="Y52" s="1"/>
      <c r="Z52" s="1"/>
      <c r="AA52" s="1"/>
    </row>
    <row r="53" customFormat="false" ht="15.75" hidden="false" customHeight="true" outlineLevel="0" collapsed="false">
      <c r="A53" s="120"/>
      <c r="O53" s="1"/>
      <c r="P53" s="1"/>
      <c r="Q53" s="1"/>
      <c r="R53" s="1"/>
      <c r="S53" s="1"/>
      <c r="T53" s="1"/>
      <c r="U53" s="1"/>
      <c r="V53" s="1"/>
      <c r="W53" s="1"/>
      <c r="X53" s="1"/>
      <c r="Y53" s="1"/>
      <c r="Z53" s="1"/>
      <c r="AA53" s="1"/>
    </row>
    <row r="54" customFormat="false" ht="15.75" hidden="false" customHeight="true" outlineLevel="0" collapsed="false">
      <c r="A54" s="14" t="s">
        <v>776</v>
      </c>
      <c r="B54" s="13" t="n">
        <v>1</v>
      </c>
      <c r="C54" s="98" t="s">
        <v>136</v>
      </c>
      <c r="D54" s="101" t="str">
        <f aca="false">IFERROR(INDEX(値リスト!$G$25:$G$29,MATCH(C54,値リスト!$H$25:$H$29,0)),"")</f>
        <v>effectId</v>
      </c>
      <c r="E54" s="13" t="s">
        <v>71</v>
      </c>
      <c r="F54" s="98"/>
      <c r="G54" s="101"/>
      <c r="H54" s="13"/>
      <c r="I54" s="12" t="s">
        <v>21</v>
      </c>
      <c r="J54" s="1" t="str">
        <f aca="false">IFERROR(INDEX(値リスト!$G$3:$G$11,MATCH(I54,値リスト!$H$3:$H$11,0)),"")</f>
        <v>boil</v>
      </c>
      <c r="K54" s="1" t="n">
        <v>1</v>
      </c>
      <c r="L54" s="12" t="s">
        <v>1113</v>
      </c>
      <c r="N54" s="97" t="s">
        <v>975</v>
      </c>
      <c r="O54" s="1"/>
      <c r="P54" s="1"/>
      <c r="Q54" s="1"/>
      <c r="R54" s="1"/>
      <c r="S54" s="1"/>
      <c r="T54" s="1"/>
      <c r="U54" s="1"/>
      <c r="V54" s="1"/>
      <c r="W54" s="1"/>
      <c r="X54" s="1"/>
      <c r="Y54" s="1"/>
      <c r="Z54" s="1"/>
      <c r="AA54" s="1"/>
    </row>
    <row r="55" customFormat="false" ht="15.75" hidden="false" customHeight="true" outlineLevel="0" collapsed="false">
      <c r="A55" s="14" t="s">
        <v>776</v>
      </c>
      <c r="B55" s="13" t="n">
        <v>2</v>
      </c>
      <c r="C55" s="98" t="s">
        <v>129</v>
      </c>
      <c r="D55" s="101" t="str">
        <f aca="false">IFERROR(INDEX(値リスト!$G$25:$G$29,MATCH(C55,値リスト!$H$25:$H$29,0)),"")</f>
        <v>itemId</v>
      </c>
      <c r="E55" s="13" t="s">
        <v>582</v>
      </c>
      <c r="F55" s="98"/>
      <c r="G55" s="101"/>
      <c r="H55" s="13"/>
      <c r="I55" s="12" t="s">
        <v>37</v>
      </c>
      <c r="J55" s="1" t="str">
        <f aca="false">IFERROR(INDEX(値リスト!$G$3:$G$11,MATCH(I55,値リスト!$H$3:$H$11,0)),"")</f>
        <v>raw</v>
      </c>
      <c r="K55" s="1" t="n">
        <v>1</v>
      </c>
      <c r="L55" s="12" t="s">
        <v>1114</v>
      </c>
      <c r="N55" s="97" t="s">
        <v>975</v>
      </c>
      <c r="O55" s="1"/>
      <c r="P55" s="1"/>
      <c r="Q55" s="1"/>
      <c r="R55" s="1"/>
      <c r="S55" s="1"/>
      <c r="T55" s="1"/>
      <c r="U55" s="1"/>
      <c r="V55" s="1"/>
      <c r="W55" s="1"/>
      <c r="X55" s="1"/>
      <c r="Y55" s="1"/>
      <c r="Z55" s="1"/>
      <c r="AA55" s="1"/>
    </row>
    <row r="56" customFormat="false" ht="15.75" hidden="false" customHeight="true" outlineLevel="0" collapsed="false">
      <c r="C56" s="105"/>
      <c r="D56" s="106"/>
      <c r="F56" s="105"/>
      <c r="G56" s="106"/>
      <c r="O56" s="1"/>
      <c r="P56" s="1"/>
      <c r="Q56" s="1"/>
      <c r="R56" s="1"/>
      <c r="S56" s="1"/>
      <c r="T56" s="1"/>
      <c r="U56" s="1"/>
      <c r="V56" s="1"/>
      <c r="W56" s="1"/>
      <c r="X56" s="1"/>
      <c r="Y56" s="1"/>
      <c r="Z56" s="1"/>
      <c r="AA56" s="1"/>
    </row>
    <row r="57" customFormat="false" ht="15.75" hidden="false" customHeight="true" outlineLevel="0" collapsed="false">
      <c r="A57" s="14" t="s">
        <v>779</v>
      </c>
      <c r="B57" s="13" t="n">
        <v>1</v>
      </c>
      <c r="C57" s="98" t="s">
        <v>136</v>
      </c>
      <c r="D57" s="101" t="str">
        <f aca="false">IFERROR(INDEX(値リスト!$G$25:$G$29,MATCH(C57,値リスト!$H$25:$H$29,0)),"")</f>
        <v>effectId</v>
      </c>
      <c r="E57" s="13" t="s">
        <v>109</v>
      </c>
      <c r="F57" s="98"/>
      <c r="G57" s="101"/>
      <c r="H57" s="13"/>
      <c r="I57" s="12" t="s">
        <v>29</v>
      </c>
      <c r="J57" s="1" t="str">
        <f aca="false">IFERROR(INDEX(値リスト!$G$3:$G$11,MATCH(I57,値リスト!$H$3:$H$11,0)),"")</f>
        <v>dry</v>
      </c>
      <c r="K57" s="1" t="n">
        <v>1</v>
      </c>
      <c r="L57" s="12" t="s">
        <v>1115</v>
      </c>
      <c r="N57" s="97" t="s">
        <v>125</v>
      </c>
      <c r="O57" s="1"/>
      <c r="P57" s="1"/>
      <c r="Q57" s="1"/>
      <c r="R57" s="1"/>
      <c r="S57" s="1"/>
      <c r="T57" s="1"/>
      <c r="U57" s="1"/>
      <c r="V57" s="1"/>
      <c r="W57" s="1"/>
      <c r="X57" s="1"/>
      <c r="Y57" s="1"/>
      <c r="Z57" s="1"/>
      <c r="AA57" s="1"/>
    </row>
    <row r="58" customFormat="false" ht="15.75" hidden="false" customHeight="true" outlineLevel="0" collapsed="false">
      <c r="A58" s="14" t="s">
        <v>779</v>
      </c>
      <c r="B58" s="13" t="n">
        <v>2</v>
      </c>
      <c r="C58" s="98" t="s">
        <v>140</v>
      </c>
      <c r="D58" s="101" t="str">
        <f aca="false">IFERROR(INDEX(値リスト!$G$25:$G$29,MATCH(C58,値リスト!$H$25:$H$29,0)),"")</f>
        <v>reactionId</v>
      </c>
      <c r="E58" s="13" t="s">
        <v>146</v>
      </c>
      <c r="F58" s="98"/>
      <c r="G58" s="101"/>
      <c r="H58" s="13"/>
      <c r="I58" s="12" t="s">
        <v>53</v>
      </c>
      <c r="J58" s="1" t="str">
        <f aca="false">IFERROR(INDEX(値リスト!$G$3:$G$11,MATCH(I58,値リスト!$H$3:$H$11,0)),"")</f>
        <v>burn</v>
      </c>
      <c r="K58" s="1" t="n">
        <v>1</v>
      </c>
      <c r="L58" s="12" t="s">
        <v>1116</v>
      </c>
      <c r="N58" s="97" t="s">
        <v>125</v>
      </c>
      <c r="O58" s="1"/>
      <c r="P58" s="1"/>
      <c r="Q58" s="1"/>
      <c r="R58" s="1"/>
      <c r="S58" s="1"/>
      <c r="T58" s="1"/>
      <c r="U58" s="1"/>
      <c r="V58" s="1"/>
      <c r="W58" s="1"/>
      <c r="X58" s="1"/>
      <c r="Y58" s="1"/>
      <c r="Z58" s="1"/>
      <c r="AA58" s="1"/>
    </row>
    <row r="59" customFormat="false" ht="15.75" hidden="false" customHeight="true" outlineLevel="0" collapsed="false">
      <c r="A59" s="14" t="s">
        <v>779</v>
      </c>
      <c r="B59" s="13" t="n">
        <v>3</v>
      </c>
      <c r="C59" s="98" t="s">
        <v>129</v>
      </c>
      <c r="D59" s="101" t="str">
        <f aca="false">IFERROR(INDEX(値リスト!$G$25:$G$29,MATCH(C59,値リスト!$H$25:$H$29,0)),"")</f>
        <v>itemId</v>
      </c>
      <c r="E59" s="13" t="s">
        <v>613</v>
      </c>
      <c r="F59" s="98"/>
      <c r="G59" s="101"/>
      <c r="H59" s="13"/>
      <c r="I59" s="12" t="s">
        <v>37</v>
      </c>
      <c r="J59" s="1" t="str">
        <f aca="false">IFERROR(INDEX(値リスト!$G$3:$G$11,MATCH(I59,値リスト!$H$3:$H$11,0)),"")</f>
        <v>raw</v>
      </c>
      <c r="K59" s="1" t="n">
        <v>1</v>
      </c>
      <c r="L59" s="12" t="s">
        <v>1117</v>
      </c>
      <c r="N59" s="97" t="s">
        <v>125</v>
      </c>
      <c r="O59" s="1"/>
      <c r="P59" s="1"/>
      <c r="Q59" s="1"/>
      <c r="R59" s="1"/>
      <c r="S59" s="1"/>
      <c r="T59" s="1"/>
      <c r="U59" s="1"/>
      <c r="V59" s="1"/>
      <c r="W59" s="1"/>
      <c r="X59" s="1"/>
      <c r="Y59" s="1"/>
      <c r="Z59" s="1"/>
      <c r="AA59" s="1"/>
    </row>
    <row r="60" customFormat="false" ht="15.75" hidden="false" customHeight="true" outlineLevel="0" collapsed="false">
      <c r="A60" s="14" t="s">
        <v>779</v>
      </c>
      <c r="B60" s="13" t="n">
        <v>4</v>
      </c>
      <c r="C60" s="98" t="s">
        <v>129</v>
      </c>
      <c r="D60" s="101" t="str">
        <f aca="false">IFERROR(INDEX(値リスト!$G$25:$G$29,MATCH(C60,値リスト!$H$25:$H$29,0)),"")</f>
        <v>itemId</v>
      </c>
      <c r="E60" s="13" t="s">
        <v>626</v>
      </c>
      <c r="F60" s="98"/>
      <c r="G60" s="101"/>
      <c r="H60" s="13"/>
      <c r="I60" s="12" t="s">
        <v>37</v>
      </c>
      <c r="J60" s="1" t="str">
        <f aca="false">IFERROR(INDEX(値リスト!$G$3:$G$11,MATCH(I60,値リスト!$H$3:$H$11,0)),"")</f>
        <v>raw</v>
      </c>
      <c r="K60" s="1" t="n">
        <v>1</v>
      </c>
      <c r="L60" s="12" t="s">
        <v>1118</v>
      </c>
      <c r="N60" s="97" t="s">
        <v>125</v>
      </c>
      <c r="O60" s="1"/>
      <c r="P60" s="1"/>
      <c r="Q60" s="1"/>
      <c r="R60" s="1"/>
      <c r="S60" s="1"/>
      <c r="T60" s="1"/>
      <c r="U60" s="1"/>
      <c r="V60" s="1"/>
      <c r="W60" s="1"/>
      <c r="X60" s="1"/>
      <c r="Y60" s="1"/>
      <c r="Z60" s="1"/>
      <c r="AA60" s="1"/>
    </row>
    <row r="61" customFormat="false" ht="15.75" hidden="false" customHeight="true" outlineLevel="0" collapsed="false">
      <c r="C61" s="105"/>
      <c r="D61" s="106"/>
      <c r="F61" s="105"/>
      <c r="G61" s="106"/>
      <c r="O61" s="1"/>
      <c r="P61" s="1"/>
      <c r="Q61" s="1"/>
      <c r="R61" s="1"/>
      <c r="S61" s="1"/>
      <c r="T61" s="1"/>
      <c r="U61" s="1"/>
      <c r="V61" s="1"/>
      <c r="W61" s="1"/>
      <c r="X61" s="1"/>
      <c r="Y61" s="1"/>
      <c r="Z61" s="1"/>
      <c r="AA61" s="1"/>
    </row>
    <row r="62" customFormat="false" ht="15.75" hidden="false" customHeight="true" outlineLevel="0" collapsed="false">
      <c r="A62" s="14" t="s">
        <v>782</v>
      </c>
      <c r="B62" s="13" t="n">
        <v>1</v>
      </c>
      <c r="C62" s="98" t="s">
        <v>136</v>
      </c>
      <c r="D62" s="101" t="str">
        <f aca="false">IFERROR(INDEX(値リスト!$G$25:$G$29,MATCH(C62,値リスト!$H$25:$H$29,0)),"")</f>
        <v>effectId</v>
      </c>
      <c r="E62" s="13" t="s">
        <v>119</v>
      </c>
      <c r="F62" s="98"/>
      <c r="G62" s="101"/>
      <c r="H62" s="13"/>
      <c r="I62" s="12" t="s">
        <v>13</v>
      </c>
      <c r="J62" s="1" t="str">
        <f aca="false">IFERROR(INDEX(値リスト!$G$3:$G$11,MATCH(I62,値リスト!$H$3:$H$11,0)),"")</f>
        <v>grind</v>
      </c>
      <c r="K62" s="1" t="n">
        <v>1</v>
      </c>
      <c r="L62" s="12" t="s">
        <v>1119</v>
      </c>
      <c r="N62" s="97" t="s">
        <v>125</v>
      </c>
      <c r="O62" s="1"/>
      <c r="P62" s="1"/>
      <c r="Q62" s="1"/>
      <c r="R62" s="1"/>
      <c r="S62" s="1"/>
      <c r="T62" s="1"/>
      <c r="U62" s="1"/>
      <c r="V62" s="1"/>
      <c r="W62" s="1"/>
      <c r="X62" s="1"/>
      <c r="Y62" s="1"/>
      <c r="Z62" s="1"/>
      <c r="AA62" s="1"/>
    </row>
    <row r="63" customFormat="false" ht="15.75" hidden="false" customHeight="true" outlineLevel="0" collapsed="false">
      <c r="A63" s="14" t="s">
        <v>782</v>
      </c>
      <c r="B63" s="13" t="n">
        <v>2</v>
      </c>
      <c r="C63" s="98" t="s">
        <v>140</v>
      </c>
      <c r="D63" s="101" t="str">
        <f aca="false">IFERROR(INDEX(値リスト!$G$25:$G$29,MATCH(C63,値リスト!$H$25:$H$29,0)),"")</f>
        <v>reactionId</v>
      </c>
      <c r="E63" s="13" t="s">
        <v>132</v>
      </c>
      <c r="F63" s="98"/>
      <c r="G63" s="101"/>
      <c r="H63" s="13"/>
      <c r="I63" s="12" t="s">
        <v>37</v>
      </c>
      <c r="J63" s="1" t="str">
        <f aca="false">IFERROR(INDEX(値リスト!$G$3:$G$11,MATCH(I63,値リスト!$H$3:$H$11,0)),"")</f>
        <v>raw</v>
      </c>
      <c r="K63" s="1" t="n">
        <v>1</v>
      </c>
      <c r="L63" s="12" t="s">
        <v>1120</v>
      </c>
      <c r="N63" s="97" t="s">
        <v>125</v>
      </c>
      <c r="O63" s="1"/>
      <c r="P63" s="1"/>
      <c r="Q63" s="1"/>
      <c r="R63" s="1"/>
      <c r="S63" s="1"/>
      <c r="T63" s="1"/>
      <c r="U63" s="1"/>
      <c r="V63" s="1"/>
      <c r="W63" s="1"/>
      <c r="X63" s="1"/>
      <c r="Y63" s="1"/>
      <c r="Z63" s="1"/>
      <c r="AA63" s="1"/>
    </row>
    <row r="64" customFormat="false" ht="15.75" hidden="false" customHeight="true" outlineLevel="0" collapsed="false">
      <c r="C64" s="105"/>
      <c r="D64" s="106"/>
      <c r="F64" s="105"/>
      <c r="G64" s="106"/>
      <c r="O64" s="1"/>
      <c r="P64" s="1"/>
      <c r="Q64" s="1"/>
      <c r="R64" s="1"/>
      <c r="S64" s="1"/>
      <c r="T64" s="1"/>
      <c r="U64" s="1"/>
      <c r="V64" s="1"/>
      <c r="W64" s="1"/>
      <c r="X64" s="1"/>
      <c r="Y64" s="1"/>
      <c r="Z64" s="1"/>
      <c r="AA64" s="1"/>
    </row>
    <row r="65" customFormat="false" ht="15.75" hidden="false" customHeight="true" outlineLevel="0" collapsed="false">
      <c r="A65" s="14" t="s">
        <v>610</v>
      </c>
      <c r="B65" s="13" t="n">
        <v>1</v>
      </c>
      <c r="C65" s="98" t="s">
        <v>129</v>
      </c>
      <c r="D65" s="101" t="str">
        <f aca="false">IFERROR(INDEX(値リスト!$G$25:$G$29,MATCH(C65,値リスト!$H$25:$H$29,0)),"")</f>
        <v>itemId</v>
      </c>
      <c r="E65" s="13" t="s">
        <v>466</v>
      </c>
      <c r="F65" s="98"/>
      <c r="G65" s="101"/>
      <c r="H65" s="13"/>
      <c r="I65" s="12" t="s">
        <v>61</v>
      </c>
      <c r="J65" s="1" t="str">
        <f aca="false">IFERROR(INDEX(値リスト!$G$3:$G$11,MATCH(I65,値リスト!$H$3:$H$11,0)),"")</f>
        <v>freeze</v>
      </c>
      <c r="K65" s="1" t="n">
        <v>1</v>
      </c>
      <c r="L65" s="12" t="s">
        <v>1121</v>
      </c>
      <c r="N65" s="97" t="s">
        <v>125</v>
      </c>
      <c r="O65" s="1"/>
      <c r="P65" s="1"/>
      <c r="Q65" s="1"/>
      <c r="R65" s="1"/>
      <c r="S65" s="1"/>
      <c r="T65" s="1"/>
      <c r="U65" s="1"/>
      <c r="V65" s="1"/>
      <c r="W65" s="1"/>
      <c r="X65" s="1"/>
      <c r="Y65" s="1"/>
      <c r="Z65" s="1"/>
      <c r="AA65" s="1"/>
    </row>
    <row r="66" customFormat="false" ht="15.75" hidden="false" customHeight="true" outlineLevel="0" collapsed="false">
      <c r="A66" s="14" t="s">
        <v>610</v>
      </c>
      <c r="B66" s="13" t="n">
        <v>2</v>
      </c>
      <c r="C66" s="98" t="s">
        <v>131</v>
      </c>
      <c r="D66" s="101" t="str">
        <f aca="false">IFERROR(INDEX(値リスト!$G$25:$G$29,MATCH(C66,値リスト!$H$25:$H$29,0)),"")</f>
        <v>categoryId</v>
      </c>
      <c r="E66" s="13" t="s">
        <v>24</v>
      </c>
      <c r="F66" s="98"/>
      <c r="G66" s="101"/>
      <c r="H66" s="13"/>
      <c r="I66" s="12" t="s">
        <v>37</v>
      </c>
      <c r="J66" s="1" t="str">
        <f aca="false">IFERROR(INDEX(値リスト!$G$3:$G$11,MATCH(I66,値リスト!$H$3:$H$11,0)),"")</f>
        <v>raw</v>
      </c>
      <c r="K66" s="1" t="n">
        <v>1</v>
      </c>
      <c r="L66" s="12" t="s">
        <v>1122</v>
      </c>
      <c r="N66" s="97" t="s">
        <v>125</v>
      </c>
      <c r="O66" s="1"/>
      <c r="P66" s="1"/>
      <c r="Q66" s="1"/>
      <c r="R66" s="1"/>
      <c r="S66" s="1"/>
      <c r="T66" s="1"/>
      <c r="U66" s="1"/>
      <c r="V66" s="1"/>
      <c r="W66" s="1"/>
      <c r="X66" s="1"/>
      <c r="Y66" s="1"/>
      <c r="Z66" s="1"/>
      <c r="AA66" s="1"/>
    </row>
    <row r="67" customFormat="false" ht="15.75" hidden="false" customHeight="true" outlineLevel="0" collapsed="false">
      <c r="C67" s="105"/>
      <c r="D67" s="106"/>
      <c r="F67" s="105"/>
      <c r="G67" s="106"/>
      <c r="O67" s="1"/>
      <c r="P67" s="1"/>
      <c r="Q67" s="1"/>
      <c r="R67" s="1"/>
      <c r="S67" s="1"/>
      <c r="T67" s="1"/>
      <c r="U67" s="1"/>
      <c r="V67" s="1"/>
      <c r="W67" s="1"/>
      <c r="X67" s="1"/>
      <c r="Y67" s="1"/>
      <c r="Z67" s="1"/>
      <c r="AA67" s="1"/>
    </row>
    <row r="68" customFormat="false" ht="15.75" hidden="false" customHeight="true" outlineLevel="0" collapsed="false">
      <c r="A68" s="14" t="s">
        <v>605</v>
      </c>
      <c r="B68" s="13" t="n">
        <v>1</v>
      </c>
      <c r="C68" s="98" t="s">
        <v>140</v>
      </c>
      <c r="D68" s="101" t="str">
        <f aca="false">IFERROR(INDEX(値リスト!$G$25:$G$29,MATCH(C68,値リスト!$H$25:$H$29,0)),"")</f>
        <v>reactionId</v>
      </c>
      <c r="E68" s="13" t="s">
        <v>152</v>
      </c>
      <c r="F68" s="98"/>
      <c r="G68" s="101"/>
      <c r="H68" s="13"/>
      <c r="I68" s="12" t="s">
        <v>13</v>
      </c>
      <c r="J68" s="1" t="str">
        <f aca="false">IFERROR(INDEX(値リスト!$G$3:$G$11,MATCH(I68,値リスト!$H$3:$H$11,0)),"")</f>
        <v>grind</v>
      </c>
      <c r="K68" s="1" t="n">
        <v>1</v>
      </c>
      <c r="L68" s="12" t="s">
        <v>1123</v>
      </c>
      <c r="N68" s="97" t="s">
        <v>125</v>
      </c>
      <c r="O68" s="1"/>
      <c r="P68" s="1"/>
      <c r="Q68" s="1"/>
      <c r="R68" s="1"/>
      <c r="S68" s="1"/>
      <c r="T68" s="1"/>
      <c r="U68" s="1"/>
      <c r="V68" s="1"/>
      <c r="W68" s="1"/>
      <c r="X68" s="1"/>
      <c r="Y68" s="1"/>
      <c r="Z68" s="1"/>
      <c r="AA68" s="1"/>
    </row>
    <row r="69" customFormat="false" ht="15.75" hidden="false" customHeight="true" outlineLevel="0" collapsed="false">
      <c r="A69" s="14" t="s">
        <v>605</v>
      </c>
      <c r="B69" s="13" t="n">
        <v>2</v>
      </c>
      <c r="C69" s="98" t="s">
        <v>129</v>
      </c>
      <c r="D69" s="101" t="str">
        <f aca="false">IFERROR(INDEX(値リスト!$G$25:$G$29,MATCH(C69,値リスト!$H$25:$H$29,0)),"")</f>
        <v>itemId</v>
      </c>
      <c r="E69" s="13" t="s">
        <v>596</v>
      </c>
      <c r="F69" s="98"/>
      <c r="G69" s="101"/>
      <c r="H69" s="13"/>
      <c r="I69" s="12" t="s">
        <v>37</v>
      </c>
      <c r="J69" s="1" t="str">
        <f aca="false">IFERROR(INDEX(値リスト!$G$3:$G$11,MATCH(I69,値リスト!$H$3:$H$11,0)),"")</f>
        <v>raw</v>
      </c>
      <c r="K69" s="1" t="n">
        <v>1</v>
      </c>
      <c r="L69" s="12" t="s">
        <v>1124</v>
      </c>
      <c r="N69" s="97" t="s">
        <v>125</v>
      </c>
      <c r="O69" s="1"/>
      <c r="P69" s="1"/>
      <c r="Q69" s="1"/>
      <c r="R69" s="1"/>
      <c r="S69" s="1"/>
      <c r="T69" s="1"/>
      <c r="U69" s="1"/>
      <c r="V69" s="1"/>
      <c r="W69" s="1"/>
      <c r="X69" s="1"/>
      <c r="Y69" s="1"/>
      <c r="Z69" s="1"/>
      <c r="AA69" s="1"/>
    </row>
    <row r="70" customFormat="false" ht="15.75" hidden="false" customHeight="true" outlineLevel="0" collapsed="false">
      <c r="C70" s="105"/>
      <c r="D70" s="106"/>
      <c r="F70" s="105"/>
      <c r="G70" s="106"/>
      <c r="O70" s="1"/>
      <c r="P70" s="1"/>
      <c r="Q70" s="1"/>
      <c r="R70" s="1"/>
      <c r="S70" s="1"/>
      <c r="T70" s="1"/>
      <c r="U70" s="1"/>
      <c r="V70" s="1"/>
      <c r="W70" s="1"/>
      <c r="X70" s="1"/>
      <c r="Y70" s="1"/>
      <c r="Z70" s="1"/>
      <c r="AA70" s="1"/>
    </row>
    <row r="71" customFormat="false" ht="15.75" hidden="false" customHeight="true" outlineLevel="0" collapsed="false">
      <c r="A71" s="14" t="s">
        <v>785</v>
      </c>
      <c r="B71" s="13" t="n">
        <v>1</v>
      </c>
      <c r="C71" s="98" t="s">
        <v>136</v>
      </c>
      <c r="D71" s="101" t="str">
        <f aca="false">IFERROR(INDEX(値リスト!$G$25:$G$29,MATCH(C71,値リスト!$H$25:$H$29,0)),"")</f>
        <v>effectId</v>
      </c>
      <c r="E71" s="13" t="s">
        <v>97</v>
      </c>
      <c r="F71" s="98"/>
      <c r="G71" s="101"/>
      <c r="H71" s="13"/>
      <c r="I71" s="12" t="s">
        <v>65</v>
      </c>
      <c r="J71" s="1" t="str">
        <f aca="false">IFERROR(INDEX(値リスト!$G$3:$G$11,MATCH(I71,値リスト!$H$3:$H$11,0)),"")</f>
        <v>dissolve</v>
      </c>
      <c r="K71" s="1" t="n">
        <v>1</v>
      </c>
      <c r="L71" s="12" t="s">
        <v>1125</v>
      </c>
      <c r="N71" s="97" t="s">
        <v>125</v>
      </c>
      <c r="O71" s="1"/>
      <c r="P71" s="1"/>
      <c r="Q71" s="1"/>
      <c r="R71" s="1"/>
      <c r="S71" s="1"/>
      <c r="T71" s="1"/>
      <c r="U71" s="1"/>
      <c r="V71" s="1"/>
      <c r="W71" s="1"/>
      <c r="X71" s="1"/>
      <c r="Y71" s="1"/>
      <c r="Z71" s="1"/>
      <c r="AA71" s="1"/>
    </row>
    <row r="72" customFormat="false" ht="15.75" hidden="false" customHeight="true" outlineLevel="0" collapsed="false">
      <c r="A72" s="14" t="s">
        <v>785</v>
      </c>
      <c r="B72" s="13" t="n">
        <v>2</v>
      </c>
      <c r="C72" s="98" t="s">
        <v>129</v>
      </c>
      <c r="D72" s="101" t="str">
        <f aca="false">IFERROR(INDEX(値リスト!$G$25:$G$29,MATCH(C72,値リスト!$H$25:$H$29,0)),"")</f>
        <v>itemId</v>
      </c>
      <c r="E72" s="13" t="s">
        <v>588</v>
      </c>
      <c r="F72" s="98"/>
      <c r="G72" s="101"/>
      <c r="H72" s="13"/>
      <c r="I72" s="12" t="s">
        <v>37</v>
      </c>
      <c r="J72" s="1" t="str">
        <f aca="false">IFERROR(INDEX(値リスト!$G$3:$G$11,MATCH(I72,値リスト!$H$3:$H$11,0)),"")</f>
        <v>raw</v>
      </c>
      <c r="K72" s="1" t="n">
        <v>1</v>
      </c>
      <c r="L72" s="12" t="s">
        <v>1126</v>
      </c>
      <c r="N72" s="97" t="s">
        <v>125</v>
      </c>
      <c r="O72" s="1"/>
      <c r="P72" s="1"/>
      <c r="Q72" s="1"/>
      <c r="R72" s="1"/>
      <c r="S72" s="1"/>
      <c r="T72" s="1"/>
      <c r="U72" s="1"/>
      <c r="V72" s="1"/>
      <c r="W72" s="1"/>
      <c r="X72" s="1"/>
      <c r="Y72" s="1"/>
      <c r="Z72" s="1"/>
      <c r="AA72" s="1"/>
    </row>
    <row r="73" customFormat="false" ht="15.75" hidden="false" customHeight="true" outlineLevel="0" collapsed="false">
      <c r="C73" s="105"/>
      <c r="D73" s="106"/>
      <c r="F73" s="105"/>
      <c r="G73" s="106"/>
      <c r="O73" s="1"/>
      <c r="P73" s="1"/>
      <c r="Q73" s="1"/>
      <c r="R73" s="1"/>
      <c r="S73" s="1"/>
      <c r="T73" s="1"/>
      <c r="U73" s="1"/>
      <c r="V73" s="1"/>
      <c r="W73" s="1"/>
      <c r="X73" s="1"/>
      <c r="Y73" s="1"/>
      <c r="Z73" s="1"/>
      <c r="AA73" s="1"/>
    </row>
    <row r="74" customFormat="false" ht="15.75" hidden="false" customHeight="true" outlineLevel="0" collapsed="false">
      <c r="A74" s="14" t="s">
        <v>788</v>
      </c>
      <c r="B74" s="13" t="n">
        <v>1</v>
      </c>
      <c r="C74" s="98" t="s">
        <v>129</v>
      </c>
      <c r="D74" s="101" t="str">
        <f aca="false">IFERROR(INDEX(値リスト!$G$25:$G$29,MATCH(C74,値リスト!$H$25:$H$29,0)),"")</f>
        <v>itemId</v>
      </c>
      <c r="E74" s="13" t="s">
        <v>561</v>
      </c>
      <c r="F74" s="98"/>
      <c r="G74" s="101"/>
      <c r="H74" s="13"/>
      <c r="I74" s="12" t="s">
        <v>37</v>
      </c>
      <c r="J74" s="1" t="str">
        <f aca="false">IFERROR(INDEX(値リスト!$G$3:$G$11,MATCH(I74,値リスト!$H$3:$H$11,0)),"")</f>
        <v>raw</v>
      </c>
      <c r="K74" s="1" t="n">
        <v>1</v>
      </c>
      <c r="L74" s="12" t="s">
        <v>1127</v>
      </c>
      <c r="N74" s="97" t="s">
        <v>975</v>
      </c>
      <c r="O74" s="1"/>
      <c r="P74" s="1"/>
      <c r="Q74" s="1"/>
      <c r="R74" s="1"/>
      <c r="S74" s="1"/>
      <c r="T74" s="1"/>
      <c r="U74" s="1"/>
      <c r="V74" s="1"/>
      <c r="W74" s="1"/>
      <c r="X74" s="1"/>
      <c r="Y74" s="1"/>
      <c r="Z74" s="1"/>
      <c r="AA74" s="1"/>
    </row>
    <row r="75" customFormat="false" ht="15.75" hidden="false" customHeight="true" outlineLevel="0" collapsed="false">
      <c r="A75" s="14" t="s">
        <v>788</v>
      </c>
      <c r="B75" s="13" t="n">
        <v>2</v>
      </c>
      <c r="C75" s="98" t="s">
        <v>140</v>
      </c>
      <c r="D75" s="101" t="str">
        <f aca="false">IFERROR(INDEX(値リスト!$G$25:$G$29,MATCH(C75,値リスト!$H$25:$H$29,0)),"")</f>
        <v>reactionId</v>
      </c>
      <c r="E75" s="13" t="s">
        <v>137</v>
      </c>
      <c r="F75" s="98"/>
      <c r="G75" s="101"/>
      <c r="H75" s="13"/>
      <c r="I75" s="12" t="s">
        <v>65</v>
      </c>
      <c r="J75" s="1" t="str">
        <f aca="false">IFERROR(INDEX(値リスト!$G$3:$G$11,MATCH(I75,値リスト!$H$3:$H$11,0)),"")</f>
        <v>dissolve</v>
      </c>
      <c r="K75" s="1" t="n">
        <v>1</v>
      </c>
      <c r="L75" s="12" t="s">
        <v>1128</v>
      </c>
      <c r="N75" s="97" t="s">
        <v>975</v>
      </c>
      <c r="O75" s="1"/>
      <c r="P75" s="1"/>
      <c r="Q75" s="1"/>
      <c r="R75" s="1"/>
      <c r="S75" s="1"/>
      <c r="T75" s="1"/>
      <c r="U75" s="1"/>
      <c r="V75" s="1"/>
      <c r="W75" s="1"/>
      <c r="X75" s="1"/>
      <c r="Y75" s="1"/>
      <c r="Z75" s="1"/>
      <c r="AA75" s="1"/>
    </row>
    <row r="76" customFormat="false" ht="15.75" hidden="false" customHeight="true" outlineLevel="0" collapsed="false">
      <c r="A76" s="14" t="s">
        <v>788</v>
      </c>
      <c r="B76" s="13" t="n">
        <v>3</v>
      </c>
      <c r="C76" s="98" t="s">
        <v>129</v>
      </c>
      <c r="D76" s="101" t="str">
        <f aca="false">IFERROR(INDEX(値リスト!$G$25:$G$29,MATCH(C76,値リスト!$H$25:$H$29,0)),"")</f>
        <v>itemId</v>
      </c>
      <c r="E76" s="13" t="s">
        <v>678</v>
      </c>
      <c r="F76" s="98"/>
      <c r="G76" s="101"/>
      <c r="H76" s="13"/>
      <c r="I76" s="12" t="s">
        <v>37</v>
      </c>
      <c r="J76" s="1" t="str">
        <f aca="false">IFERROR(INDEX(値リスト!$G$3:$G$11,MATCH(I76,値リスト!$H$3:$H$11,0)),"")</f>
        <v>raw</v>
      </c>
      <c r="K76" s="1" t="n">
        <v>1</v>
      </c>
      <c r="L76" s="12" t="s">
        <v>1129</v>
      </c>
      <c r="N76" s="97" t="s">
        <v>975</v>
      </c>
      <c r="O76" s="1"/>
      <c r="P76" s="1"/>
      <c r="Q76" s="1"/>
      <c r="R76" s="1"/>
      <c r="S76" s="1"/>
      <c r="T76" s="1"/>
      <c r="U76" s="1"/>
      <c r="V76" s="1"/>
      <c r="W76" s="1"/>
      <c r="X76" s="1"/>
      <c r="Y76" s="1"/>
      <c r="Z76" s="1"/>
      <c r="AA76" s="1"/>
    </row>
    <row r="77" customFormat="false" ht="15.75" hidden="false" customHeight="true" outlineLevel="0" collapsed="false">
      <c r="A77" s="14" t="s">
        <v>788</v>
      </c>
      <c r="B77" s="13" t="n">
        <v>4</v>
      </c>
      <c r="C77" s="98" t="s">
        <v>129</v>
      </c>
      <c r="D77" s="101" t="str">
        <f aca="false">IFERROR(INDEX(値リスト!$G$25:$G$29,MATCH(C77,値リスト!$H$25:$H$29,0)),"")</f>
        <v>itemId</v>
      </c>
      <c r="E77" s="13" t="s">
        <v>582</v>
      </c>
      <c r="F77" s="98"/>
      <c r="G77" s="101"/>
      <c r="H77" s="13"/>
      <c r="I77" s="12" t="s">
        <v>37</v>
      </c>
      <c r="J77" s="1" t="str">
        <f aca="false">IFERROR(INDEX(値リスト!$G$3:$G$11,MATCH(I77,値リスト!$H$3:$H$11,0)),"")</f>
        <v>raw</v>
      </c>
      <c r="K77" s="1" t="n">
        <v>1</v>
      </c>
      <c r="L77" s="12" t="s">
        <v>1130</v>
      </c>
      <c r="N77" s="97" t="s">
        <v>975</v>
      </c>
      <c r="O77" s="1"/>
      <c r="P77" s="1"/>
      <c r="Q77" s="1"/>
      <c r="R77" s="1"/>
      <c r="S77" s="1"/>
      <c r="T77" s="1"/>
      <c r="U77" s="1"/>
      <c r="V77" s="1"/>
      <c r="W77" s="1"/>
      <c r="X77" s="1"/>
      <c r="Y77" s="1"/>
      <c r="Z77" s="1"/>
      <c r="AA77" s="1"/>
    </row>
    <row r="78" customFormat="false" ht="15.75" hidden="false" customHeight="true" outlineLevel="0" collapsed="false">
      <c r="C78" s="105"/>
      <c r="D78" s="106"/>
      <c r="F78" s="105"/>
      <c r="G78" s="106"/>
      <c r="O78" s="1"/>
      <c r="P78" s="1"/>
      <c r="Q78" s="1"/>
      <c r="R78" s="1"/>
      <c r="S78" s="1"/>
      <c r="T78" s="1"/>
      <c r="U78" s="1"/>
      <c r="V78" s="1"/>
      <c r="W78" s="1"/>
      <c r="X78" s="1"/>
      <c r="Y78" s="1"/>
      <c r="Z78" s="1"/>
      <c r="AA78" s="1"/>
    </row>
    <row r="79" customFormat="false" ht="15.75" hidden="false" customHeight="true" outlineLevel="0" collapsed="false">
      <c r="A79" s="14" t="s">
        <v>791</v>
      </c>
      <c r="B79" s="13" t="n">
        <v>1</v>
      </c>
      <c r="C79" s="98" t="s">
        <v>131</v>
      </c>
      <c r="D79" s="101" t="str">
        <f aca="false">IFERROR(INDEX(値リスト!$G$25:$G$29,MATCH(C79,値リスト!$H$25:$H$29,0)),"")</f>
        <v>categoryId</v>
      </c>
      <c r="E79" s="13" t="s">
        <v>40</v>
      </c>
      <c r="F79" s="98"/>
      <c r="G79" s="101"/>
      <c r="H79" s="13"/>
      <c r="I79" s="12" t="s">
        <v>45</v>
      </c>
      <c r="J79" s="1" t="str">
        <f aca="false">IFERROR(INDEX(値リスト!$G$3:$G$11,MATCH(I79,値リスト!$H$3:$H$11,0)),"")</f>
        <v>ferment</v>
      </c>
      <c r="K79" s="1" t="n">
        <v>1</v>
      </c>
      <c r="L79" s="12" t="s">
        <v>1131</v>
      </c>
      <c r="N79" s="97" t="s">
        <v>975</v>
      </c>
      <c r="O79" s="1"/>
      <c r="P79" s="1"/>
      <c r="Q79" s="1"/>
      <c r="R79" s="1"/>
      <c r="S79" s="1"/>
      <c r="T79" s="1"/>
      <c r="U79" s="1"/>
      <c r="V79" s="1"/>
      <c r="W79" s="1"/>
      <c r="X79" s="1"/>
      <c r="Y79" s="1"/>
      <c r="Z79" s="1"/>
      <c r="AA79" s="1"/>
    </row>
    <row r="80" customFormat="false" ht="15.75" hidden="false" customHeight="true" outlineLevel="0" collapsed="false">
      <c r="A80" s="14" t="s">
        <v>791</v>
      </c>
      <c r="B80" s="13" t="n">
        <v>2</v>
      </c>
      <c r="C80" s="98" t="s">
        <v>140</v>
      </c>
      <c r="D80" s="101" t="str">
        <f aca="false">IFERROR(INDEX(値リスト!$G$25:$G$29,MATCH(C80,値リスト!$H$25:$H$29,0)),"")</f>
        <v>reactionId</v>
      </c>
      <c r="E80" s="13" t="s">
        <v>149</v>
      </c>
      <c r="F80" s="98"/>
      <c r="G80" s="101"/>
      <c r="H80" s="13"/>
      <c r="I80" s="12" t="s">
        <v>37</v>
      </c>
      <c r="J80" s="1" t="str">
        <f aca="false">IFERROR(INDEX(値リスト!$G$3:$G$11,MATCH(I80,値リスト!$H$3:$H$11,0)),"")</f>
        <v>raw</v>
      </c>
      <c r="K80" s="1" t="n">
        <v>1</v>
      </c>
      <c r="L80" s="12" t="s">
        <v>1132</v>
      </c>
      <c r="N80" s="97" t="s">
        <v>975</v>
      </c>
      <c r="O80" s="1"/>
      <c r="P80" s="1"/>
      <c r="Q80" s="1"/>
      <c r="R80" s="1"/>
      <c r="S80" s="1"/>
      <c r="T80" s="1"/>
      <c r="U80" s="1"/>
      <c r="V80" s="1"/>
      <c r="W80" s="1"/>
      <c r="X80" s="1"/>
      <c r="Y80" s="1"/>
      <c r="Z80" s="1"/>
      <c r="AA80" s="1"/>
    </row>
    <row r="81" customFormat="false" ht="15.75" hidden="false" customHeight="true" outlineLevel="0" collapsed="false">
      <c r="C81" s="105"/>
      <c r="D81" s="106"/>
      <c r="F81" s="105"/>
      <c r="G81" s="106"/>
      <c r="O81" s="1"/>
      <c r="P81" s="1"/>
      <c r="Q81" s="1"/>
      <c r="R81" s="1"/>
      <c r="S81" s="1"/>
      <c r="T81" s="1"/>
      <c r="U81" s="1"/>
      <c r="V81" s="1"/>
      <c r="W81" s="1"/>
      <c r="X81" s="1"/>
      <c r="Y81" s="1"/>
      <c r="Z81" s="1"/>
      <c r="AA81" s="1"/>
    </row>
    <row r="82" customFormat="false" ht="15.75" hidden="false" customHeight="true" outlineLevel="0" collapsed="false">
      <c r="A82" s="14" t="s">
        <v>794</v>
      </c>
      <c r="B82" s="13" t="n">
        <v>1</v>
      </c>
      <c r="C82" s="98" t="s">
        <v>129</v>
      </c>
      <c r="D82" s="101" t="str">
        <f aca="false">IFERROR(INDEX(値リスト!$G$25:$G$29,MATCH(C82,値リスト!$H$25:$H$29,0)),"")</f>
        <v>itemId</v>
      </c>
      <c r="E82" s="13" t="s">
        <v>686</v>
      </c>
      <c r="F82" s="98"/>
      <c r="G82" s="101"/>
      <c r="H82" s="13"/>
      <c r="I82" s="12" t="s">
        <v>37</v>
      </c>
      <c r="J82" s="1" t="str">
        <f aca="false">IFERROR(INDEX(値リスト!$G$3:$G$11,MATCH(I82,値リスト!$H$3:$H$11,0)),"")</f>
        <v>raw</v>
      </c>
      <c r="K82" s="1" t="n">
        <v>1</v>
      </c>
      <c r="L82" s="12" t="s">
        <v>1133</v>
      </c>
      <c r="N82" s="97" t="s">
        <v>125</v>
      </c>
      <c r="O82" s="1"/>
      <c r="P82" s="1"/>
      <c r="Q82" s="1"/>
      <c r="R82" s="1"/>
      <c r="S82" s="1"/>
      <c r="T82" s="1"/>
      <c r="U82" s="1"/>
      <c r="V82" s="1"/>
      <c r="W82" s="1"/>
      <c r="X82" s="1"/>
      <c r="Y82" s="1"/>
      <c r="Z82" s="1"/>
      <c r="AA82" s="1"/>
    </row>
    <row r="83" customFormat="false" ht="15.75" hidden="false" customHeight="true" outlineLevel="0" collapsed="false">
      <c r="A83" s="14" t="s">
        <v>794</v>
      </c>
      <c r="B83" s="13" t="n">
        <v>2</v>
      </c>
      <c r="C83" s="98" t="s">
        <v>136</v>
      </c>
      <c r="D83" s="101" t="str">
        <f aca="false">IFERROR(INDEX(値リスト!$G$25:$G$29,MATCH(C83,値リスト!$H$25:$H$29,0)),"")</f>
        <v>effectId</v>
      </c>
      <c r="E83" s="13" t="s">
        <v>91</v>
      </c>
      <c r="F83" s="98"/>
      <c r="G83" s="101"/>
      <c r="H83" s="13"/>
      <c r="I83" s="12" t="s">
        <v>68</v>
      </c>
      <c r="J83" s="1" t="str">
        <f aca="false">IFERROR(INDEX(値リスト!$G$3:$G$11,MATCH(I83,値リスト!$H$3:$H$11,0)),"")</f>
        <v>distill</v>
      </c>
      <c r="K83" s="1" t="n">
        <v>1</v>
      </c>
      <c r="L83" s="12" t="s">
        <v>1134</v>
      </c>
      <c r="N83" s="97" t="s">
        <v>125</v>
      </c>
      <c r="O83" s="1"/>
      <c r="P83" s="1"/>
      <c r="Q83" s="1"/>
      <c r="R83" s="1"/>
      <c r="S83" s="1"/>
      <c r="T83" s="1"/>
      <c r="U83" s="1"/>
      <c r="V83" s="1"/>
      <c r="W83" s="1"/>
      <c r="X83" s="1"/>
      <c r="Y83" s="1"/>
      <c r="Z83" s="1"/>
      <c r="AA83" s="1"/>
    </row>
    <row r="84" customFormat="false" ht="15.75" hidden="false" customHeight="true" outlineLevel="0" collapsed="false">
      <c r="A84" s="14" t="s">
        <v>794</v>
      </c>
      <c r="B84" s="13" t="n">
        <v>3</v>
      </c>
      <c r="C84" s="98" t="s">
        <v>129</v>
      </c>
      <c r="D84" s="101" t="str">
        <f aca="false">IFERROR(INDEX(値リスト!$G$25:$G$29,MATCH(C84,値リスト!$H$25:$H$29,0)),"")</f>
        <v>itemId</v>
      </c>
      <c r="E84" s="13" t="s">
        <v>658</v>
      </c>
      <c r="F84" s="98"/>
      <c r="G84" s="101"/>
      <c r="H84" s="13"/>
      <c r="I84" s="12" t="s">
        <v>37</v>
      </c>
      <c r="J84" s="1" t="str">
        <f aca="false">IFERROR(INDEX(値リスト!$G$3:$G$11,MATCH(I84,値リスト!$H$3:$H$11,0)),"")</f>
        <v>raw</v>
      </c>
      <c r="K84" s="1" t="n">
        <v>1</v>
      </c>
      <c r="L84" s="12" t="s">
        <v>1135</v>
      </c>
      <c r="N84" s="97" t="s">
        <v>125</v>
      </c>
      <c r="O84" s="1"/>
      <c r="P84" s="1"/>
      <c r="Q84" s="1"/>
      <c r="R84" s="1"/>
      <c r="S84" s="1"/>
      <c r="T84" s="1"/>
      <c r="U84" s="1"/>
      <c r="V84" s="1"/>
      <c r="W84" s="1"/>
      <c r="X84" s="1"/>
      <c r="Y84" s="1"/>
      <c r="Z84" s="1"/>
      <c r="AA84" s="1"/>
    </row>
    <row r="85" customFormat="false" ht="15.75" hidden="false" customHeight="true" outlineLevel="0" collapsed="false">
      <c r="A85" s="14" t="s">
        <v>794</v>
      </c>
      <c r="B85" s="13" t="n">
        <v>4</v>
      </c>
      <c r="C85" s="98" t="s">
        <v>129</v>
      </c>
      <c r="D85" s="101" t="str">
        <f aca="false">IFERROR(INDEX(値リスト!$G$25:$G$29,MATCH(C85,値リスト!$H$25:$H$29,0)),"")</f>
        <v>itemId</v>
      </c>
      <c r="E85" s="13" t="s">
        <v>609</v>
      </c>
      <c r="F85" s="98"/>
      <c r="G85" s="101"/>
      <c r="H85" s="13"/>
      <c r="I85" s="12" t="s">
        <v>37</v>
      </c>
      <c r="J85" s="1" t="str">
        <f aca="false">IFERROR(INDEX(値リスト!$G$3:$G$11,MATCH(I85,値リスト!$H$3:$H$11,0)),"")</f>
        <v>raw</v>
      </c>
      <c r="K85" s="1" t="n">
        <v>1</v>
      </c>
      <c r="L85" s="12" t="s">
        <v>1136</v>
      </c>
      <c r="N85" s="97" t="s">
        <v>125</v>
      </c>
      <c r="O85" s="1"/>
      <c r="P85" s="1"/>
      <c r="Q85" s="1"/>
      <c r="R85" s="1"/>
      <c r="S85" s="1"/>
      <c r="T85" s="1"/>
      <c r="U85" s="1"/>
      <c r="V85" s="1"/>
      <c r="W85" s="1"/>
      <c r="X85" s="1"/>
      <c r="Y85" s="1"/>
      <c r="Z85" s="1"/>
      <c r="AA85" s="1"/>
    </row>
    <row r="86" customFormat="false" ht="15.75" hidden="false" customHeight="true" outlineLevel="0" collapsed="false">
      <c r="A86" s="14" t="s">
        <v>794</v>
      </c>
      <c r="B86" s="13" t="n">
        <v>5</v>
      </c>
      <c r="C86" s="98" t="s">
        <v>129</v>
      </c>
      <c r="D86" s="101" t="str">
        <f aca="false">IFERROR(INDEX(値リスト!$G$25:$G$29,MATCH(C86,値リスト!$H$25:$H$29,0)),"")</f>
        <v>itemId</v>
      </c>
      <c r="E86" s="13" t="s">
        <v>604</v>
      </c>
      <c r="F86" s="98"/>
      <c r="G86" s="101"/>
      <c r="H86" s="13"/>
      <c r="I86" s="12" t="s">
        <v>37</v>
      </c>
      <c r="J86" s="1" t="str">
        <f aca="false">IFERROR(INDEX(値リスト!$G$3:$G$11,MATCH(I86,値リスト!$H$3:$H$11,0)),"")</f>
        <v>raw</v>
      </c>
      <c r="K86" s="1" t="n">
        <v>1</v>
      </c>
      <c r="L86" s="12" t="s">
        <v>1137</v>
      </c>
      <c r="N86" s="97" t="s">
        <v>125</v>
      </c>
      <c r="O86" s="1"/>
      <c r="P86" s="1"/>
      <c r="Q86" s="1"/>
      <c r="R86" s="1"/>
      <c r="S86" s="1"/>
      <c r="T86" s="1"/>
      <c r="U86" s="1"/>
      <c r="V86" s="1"/>
      <c r="W86" s="1"/>
      <c r="X86" s="1"/>
      <c r="Y86" s="1"/>
      <c r="Z86" s="1"/>
      <c r="AA86" s="1"/>
    </row>
    <row r="87" customFormat="false" ht="15.75" hidden="false" customHeight="true" outlineLevel="0" collapsed="false">
      <c r="C87" s="105"/>
      <c r="D87" s="106"/>
      <c r="F87" s="105"/>
      <c r="G87" s="106"/>
      <c r="O87" s="1"/>
      <c r="P87" s="1"/>
      <c r="Q87" s="1"/>
      <c r="R87" s="1"/>
      <c r="S87" s="1"/>
      <c r="T87" s="1"/>
      <c r="U87" s="1"/>
      <c r="V87" s="1"/>
      <c r="W87" s="1"/>
      <c r="X87" s="1"/>
      <c r="Y87" s="1"/>
      <c r="Z87" s="1"/>
      <c r="AA87" s="1"/>
    </row>
    <row r="88" customFormat="false" ht="15.75" hidden="false" customHeight="true" outlineLevel="0" collapsed="false">
      <c r="A88" s="14" t="s">
        <v>797</v>
      </c>
      <c r="B88" s="13" t="n">
        <v>1</v>
      </c>
      <c r="C88" s="98" t="s">
        <v>136</v>
      </c>
      <c r="D88" s="101" t="str">
        <f aca="false">IFERROR(INDEX(値リスト!$G$25:$G$29,MATCH(C88,値リスト!$H$25:$H$29,0)),"")</f>
        <v>effectId</v>
      </c>
      <c r="E88" s="13" t="s">
        <v>115</v>
      </c>
      <c r="F88" s="98"/>
      <c r="G88" s="101"/>
      <c r="H88" s="13"/>
      <c r="I88" s="12" t="s">
        <v>65</v>
      </c>
      <c r="J88" s="1" t="str">
        <f aca="false">IFERROR(INDEX(値リスト!$G$3:$G$11,MATCH(I88,値リスト!$H$3:$H$11,0)),"")</f>
        <v>dissolve</v>
      </c>
      <c r="K88" s="1" t="n">
        <v>1</v>
      </c>
      <c r="L88" s="12" t="s">
        <v>1138</v>
      </c>
      <c r="N88" s="97" t="s">
        <v>125</v>
      </c>
      <c r="O88" s="1"/>
      <c r="P88" s="1"/>
      <c r="Q88" s="1"/>
      <c r="R88" s="1"/>
      <c r="S88" s="1"/>
      <c r="T88" s="1"/>
      <c r="U88" s="1"/>
      <c r="V88" s="1"/>
      <c r="W88" s="1"/>
      <c r="X88" s="1"/>
      <c r="Y88" s="1"/>
      <c r="Z88" s="1"/>
      <c r="AA88" s="1"/>
    </row>
    <row r="89" customFormat="false" ht="15.75" hidden="false" customHeight="true" outlineLevel="0" collapsed="false">
      <c r="A89" s="14" t="s">
        <v>797</v>
      </c>
      <c r="B89" s="13" t="n">
        <v>2</v>
      </c>
      <c r="C89" s="98" t="s">
        <v>129</v>
      </c>
      <c r="D89" s="101" t="str">
        <f aca="false">IFERROR(INDEX(値リスト!$G$25:$G$29,MATCH(C89,値リスト!$H$25:$H$29,0)),"")</f>
        <v>itemId</v>
      </c>
      <c r="E89" s="13" t="s">
        <v>588</v>
      </c>
      <c r="F89" s="98"/>
      <c r="G89" s="101"/>
      <c r="H89" s="13"/>
      <c r="I89" s="12" t="s">
        <v>37</v>
      </c>
      <c r="J89" s="1" t="str">
        <f aca="false">IFERROR(INDEX(値リスト!$G$3:$G$11,MATCH(I89,値リスト!$H$3:$H$11,0)),"")</f>
        <v>raw</v>
      </c>
      <c r="K89" s="1" t="n">
        <v>1</v>
      </c>
      <c r="L89" s="12" t="s">
        <v>1139</v>
      </c>
      <c r="N89" s="97" t="s">
        <v>125</v>
      </c>
      <c r="O89" s="1"/>
      <c r="P89" s="1"/>
      <c r="Q89" s="1"/>
      <c r="R89" s="1"/>
      <c r="S89" s="1"/>
      <c r="T89" s="1"/>
      <c r="U89" s="1"/>
      <c r="V89" s="1"/>
      <c r="W89" s="1"/>
      <c r="X89" s="1"/>
      <c r="Y89" s="1"/>
      <c r="Z89" s="1"/>
      <c r="AA89" s="1"/>
    </row>
    <row r="90" customFormat="false" ht="15.75" hidden="false" customHeight="true" outlineLevel="0" collapsed="false">
      <c r="C90" s="105"/>
      <c r="D90" s="106"/>
      <c r="F90" s="105"/>
      <c r="G90" s="106"/>
      <c r="O90" s="1"/>
      <c r="P90" s="1"/>
      <c r="Q90" s="1"/>
      <c r="R90" s="1"/>
      <c r="S90" s="1"/>
      <c r="T90" s="1"/>
      <c r="U90" s="1"/>
      <c r="V90" s="1"/>
      <c r="W90" s="1"/>
      <c r="X90" s="1"/>
      <c r="Y90" s="1"/>
      <c r="Z90" s="1"/>
      <c r="AA90" s="1"/>
    </row>
    <row r="91" customFormat="false" ht="15.75" hidden="false" customHeight="true" outlineLevel="0" collapsed="false">
      <c r="A91" s="14" t="s">
        <v>800</v>
      </c>
      <c r="B91" s="13" t="n">
        <v>1</v>
      </c>
      <c r="C91" s="98" t="s">
        <v>140</v>
      </c>
      <c r="D91" s="101" t="str">
        <f aca="false">IFERROR(INDEX(値リスト!$G$25:$G$29,MATCH(C91,値リスト!$H$25:$H$29,0)),"")</f>
        <v>reactionId</v>
      </c>
      <c r="E91" s="13" t="s">
        <v>155</v>
      </c>
      <c r="F91" s="98"/>
      <c r="G91" s="101"/>
      <c r="H91" s="13"/>
      <c r="I91" s="12" t="s">
        <v>29</v>
      </c>
      <c r="J91" s="1" t="str">
        <f aca="false">IFERROR(INDEX(値リスト!$G$3:$G$11,MATCH(I91,値リスト!$H$3:$H$11,0)),"")</f>
        <v>dry</v>
      </c>
      <c r="K91" s="1" t="n">
        <v>1</v>
      </c>
      <c r="L91" s="12" t="s">
        <v>1140</v>
      </c>
      <c r="N91" s="97" t="s">
        <v>125</v>
      </c>
      <c r="O91" s="1"/>
      <c r="P91" s="1"/>
      <c r="Q91" s="1"/>
      <c r="R91" s="1"/>
      <c r="S91" s="1"/>
      <c r="T91" s="1"/>
      <c r="U91" s="1"/>
      <c r="V91" s="1"/>
      <c r="W91" s="1"/>
      <c r="X91" s="1"/>
      <c r="Y91" s="1"/>
      <c r="Z91" s="1"/>
      <c r="AA91" s="1"/>
    </row>
    <row r="92" customFormat="false" ht="15.75" hidden="false" customHeight="true" outlineLevel="0" collapsed="false">
      <c r="A92" s="14" t="s">
        <v>800</v>
      </c>
      <c r="B92" s="13" t="n">
        <v>2</v>
      </c>
      <c r="C92" s="98" t="s">
        <v>131</v>
      </c>
      <c r="D92" s="101" t="str">
        <f aca="false">IFERROR(INDEX(値リスト!$G$25:$G$29,MATCH(C92,値リスト!$H$25:$H$29,0)),"")</f>
        <v>categoryId</v>
      </c>
      <c r="E92" s="13" t="s">
        <v>32</v>
      </c>
      <c r="F92" s="98"/>
      <c r="G92" s="101"/>
      <c r="H92" s="13"/>
      <c r="I92" s="12" t="s">
        <v>13</v>
      </c>
      <c r="J92" s="1" t="str">
        <f aca="false">IFERROR(INDEX(値リスト!$G$3:$G$11,MATCH(I92,値リスト!$H$3:$H$11,0)),"")</f>
        <v>grind</v>
      </c>
      <c r="K92" s="1" t="n">
        <v>1</v>
      </c>
      <c r="L92" s="12" t="s">
        <v>1141</v>
      </c>
      <c r="N92" s="97" t="s">
        <v>125</v>
      </c>
      <c r="O92" s="1"/>
      <c r="P92" s="1"/>
      <c r="Q92" s="1"/>
      <c r="R92" s="1"/>
      <c r="S92" s="1"/>
      <c r="T92" s="1"/>
      <c r="U92" s="1"/>
      <c r="V92" s="1"/>
      <c r="W92" s="1"/>
      <c r="X92" s="1"/>
      <c r="Y92" s="1"/>
      <c r="Z92" s="1"/>
      <c r="AA92" s="1"/>
    </row>
    <row r="93" customFormat="false" ht="15.75" hidden="false" customHeight="true" outlineLevel="0" collapsed="false">
      <c r="C93" s="105"/>
      <c r="D93" s="106"/>
      <c r="F93" s="105"/>
      <c r="G93" s="106"/>
      <c r="O93" s="1"/>
      <c r="P93" s="1"/>
      <c r="Q93" s="1"/>
      <c r="R93" s="1"/>
      <c r="S93" s="1"/>
      <c r="T93" s="1"/>
      <c r="U93" s="1"/>
      <c r="V93" s="1"/>
      <c r="W93" s="1"/>
      <c r="X93" s="1"/>
      <c r="Y93" s="1"/>
      <c r="Z93" s="1"/>
      <c r="AA93" s="1"/>
    </row>
    <row r="94" customFormat="false" ht="15.75" hidden="false" customHeight="true" outlineLevel="0" collapsed="false">
      <c r="A94" s="14" t="s">
        <v>803</v>
      </c>
      <c r="B94" s="13" t="n">
        <v>1</v>
      </c>
      <c r="C94" s="98" t="s">
        <v>129</v>
      </c>
      <c r="D94" s="101" t="str">
        <f aca="false">IFERROR(INDEX(値リスト!$G$25:$G$29,MATCH(C94,値リスト!$H$25:$H$29,0)),"")</f>
        <v>itemId</v>
      </c>
      <c r="E94" s="13" t="s">
        <v>434</v>
      </c>
      <c r="F94" s="98"/>
      <c r="G94" s="101"/>
      <c r="H94" s="13"/>
      <c r="I94" s="12" t="s">
        <v>65</v>
      </c>
      <c r="J94" s="1" t="str">
        <f aca="false">IFERROR(INDEX(値リスト!$G$3:$G$11,MATCH(I94,値リスト!$H$3:$H$11,0)),"")</f>
        <v>dissolve</v>
      </c>
      <c r="K94" s="1" t="n">
        <v>1</v>
      </c>
      <c r="L94" s="12" t="s">
        <v>1142</v>
      </c>
      <c r="N94" s="97" t="s">
        <v>975</v>
      </c>
      <c r="O94" s="1"/>
      <c r="P94" s="1"/>
      <c r="Q94" s="1"/>
      <c r="R94" s="1"/>
      <c r="S94" s="1"/>
      <c r="T94" s="1"/>
      <c r="U94" s="1"/>
      <c r="V94" s="1"/>
      <c r="W94" s="1"/>
      <c r="X94" s="1"/>
      <c r="Y94" s="1"/>
      <c r="Z94" s="1"/>
      <c r="AA94" s="1"/>
    </row>
    <row r="95" customFormat="false" ht="15.75" hidden="false" customHeight="true" outlineLevel="0" collapsed="false">
      <c r="A95" s="14" t="s">
        <v>803</v>
      </c>
      <c r="B95" s="13" t="n">
        <v>2</v>
      </c>
      <c r="C95" s="98" t="s">
        <v>140</v>
      </c>
      <c r="D95" s="101" t="str">
        <f aca="false">IFERROR(INDEX(値リスト!$G$25:$G$29,MATCH(C95,値リスト!$H$25:$H$29,0)),"")</f>
        <v>reactionId</v>
      </c>
      <c r="E95" s="13" t="s">
        <v>149</v>
      </c>
      <c r="F95" s="98"/>
      <c r="G95" s="101"/>
      <c r="H95" s="13"/>
      <c r="I95" s="12" t="s">
        <v>37</v>
      </c>
      <c r="J95" s="1" t="str">
        <f aca="false">IFERROR(INDEX(値リスト!$G$3:$G$11,MATCH(I95,値リスト!$H$3:$H$11,0)),"")</f>
        <v>raw</v>
      </c>
      <c r="K95" s="1" t="n">
        <v>1</v>
      </c>
      <c r="L95" s="12" t="s">
        <v>1143</v>
      </c>
      <c r="N95" s="97" t="s">
        <v>975</v>
      </c>
      <c r="O95" s="1"/>
      <c r="P95" s="1"/>
      <c r="Q95" s="1"/>
      <c r="R95" s="1"/>
      <c r="S95" s="1"/>
      <c r="T95" s="1"/>
      <c r="U95" s="1"/>
      <c r="V95" s="1"/>
      <c r="W95" s="1"/>
      <c r="X95" s="1"/>
      <c r="Y95" s="1"/>
      <c r="Z95" s="1"/>
      <c r="AA95" s="1"/>
    </row>
    <row r="96" customFormat="false" ht="15.75" hidden="false" customHeight="true" outlineLevel="0" collapsed="false">
      <c r="C96" s="105"/>
      <c r="D96" s="106"/>
      <c r="F96" s="105"/>
      <c r="G96" s="106"/>
      <c r="O96" s="1"/>
      <c r="P96" s="1"/>
      <c r="Q96" s="1"/>
      <c r="R96" s="1"/>
      <c r="S96" s="1"/>
      <c r="T96" s="1"/>
      <c r="U96" s="1"/>
      <c r="V96" s="1"/>
      <c r="W96" s="1"/>
      <c r="X96" s="1"/>
      <c r="Y96" s="1"/>
      <c r="Z96" s="1"/>
      <c r="AA96" s="1"/>
    </row>
    <row r="97" customFormat="false" ht="15.75" hidden="false" customHeight="true" outlineLevel="0" collapsed="false">
      <c r="A97" s="14" t="s">
        <v>806</v>
      </c>
      <c r="B97" s="13" t="n">
        <v>1</v>
      </c>
      <c r="C97" s="98" t="s">
        <v>136</v>
      </c>
      <c r="D97" s="101" t="str">
        <f aca="false">IFERROR(INDEX(値リスト!$G$25:$G$29,MATCH(C97,値リスト!$H$25:$H$29,0)),"")</f>
        <v>effectId</v>
      </c>
      <c r="E97" s="13" t="s">
        <v>103</v>
      </c>
      <c r="F97" s="98"/>
      <c r="G97" s="101"/>
      <c r="H97" s="13"/>
      <c r="I97" s="12" t="s">
        <v>21</v>
      </c>
      <c r="J97" s="1" t="str">
        <f aca="false">IFERROR(INDEX(値リスト!$G$3:$G$11,MATCH(I97,値リスト!$H$3:$H$11,0)),"")</f>
        <v>boil</v>
      </c>
      <c r="K97" s="1" t="n">
        <v>1</v>
      </c>
      <c r="L97" s="12" t="s">
        <v>1144</v>
      </c>
      <c r="N97" s="97" t="s">
        <v>125</v>
      </c>
      <c r="O97" s="1"/>
      <c r="P97" s="1"/>
      <c r="Q97" s="1"/>
      <c r="R97" s="1"/>
      <c r="S97" s="1"/>
      <c r="T97" s="1"/>
      <c r="U97" s="1"/>
      <c r="V97" s="1"/>
      <c r="W97" s="1"/>
      <c r="X97" s="1"/>
      <c r="Y97" s="1"/>
      <c r="Z97" s="1"/>
      <c r="AA97" s="1"/>
    </row>
    <row r="98" customFormat="false" ht="15.75" hidden="false" customHeight="true" outlineLevel="0" collapsed="false">
      <c r="A98" s="14" t="s">
        <v>806</v>
      </c>
      <c r="B98" s="13" t="n">
        <v>2</v>
      </c>
      <c r="C98" s="98" t="s">
        <v>140</v>
      </c>
      <c r="D98" s="101" t="str">
        <f aca="false">IFERROR(INDEX(値リスト!$G$25:$G$29,MATCH(C98,値リスト!$H$25:$H$29,0)),"")</f>
        <v>reactionId</v>
      </c>
      <c r="E98" s="13" t="s">
        <v>146</v>
      </c>
      <c r="F98" s="98"/>
      <c r="G98" s="101"/>
      <c r="H98" s="13"/>
      <c r="I98" s="12" t="s">
        <v>37</v>
      </c>
      <c r="J98" s="1" t="str">
        <f aca="false">IFERROR(INDEX(値リスト!$G$3:$G$11,MATCH(I98,値リスト!$H$3:$H$11,0)),"")</f>
        <v>raw</v>
      </c>
      <c r="K98" s="1" t="n">
        <v>1</v>
      </c>
      <c r="L98" s="12" t="s">
        <v>1145</v>
      </c>
      <c r="N98" s="97" t="s">
        <v>125</v>
      </c>
      <c r="O98" s="1"/>
      <c r="P98" s="1"/>
      <c r="Q98" s="1"/>
      <c r="R98" s="1"/>
      <c r="S98" s="1"/>
      <c r="T98" s="1"/>
      <c r="U98" s="1"/>
      <c r="V98" s="1"/>
      <c r="W98" s="1"/>
      <c r="X98" s="1"/>
      <c r="Y98" s="1"/>
      <c r="Z98" s="1"/>
      <c r="AA98" s="1"/>
    </row>
    <row r="99" customFormat="false" ht="15.75" hidden="false" customHeight="true" outlineLevel="0" collapsed="false">
      <c r="A99" s="14" t="s">
        <v>806</v>
      </c>
      <c r="B99" s="13" t="n">
        <v>3</v>
      </c>
      <c r="C99" s="98" t="s">
        <v>129</v>
      </c>
      <c r="D99" s="101" t="str">
        <f aca="false">IFERROR(INDEX(値リスト!$G$25:$G$29,MATCH(C99,値リスト!$H$25:$H$29,0)),"")</f>
        <v>itemId</v>
      </c>
      <c r="E99" s="13" t="s">
        <v>650</v>
      </c>
      <c r="F99" s="98"/>
      <c r="G99" s="101"/>
      <c r="H99" s="13"/>
      <c r="I99" s="12" t="s">
        <v>37</v>
      </c>
      <c r="J99" s="1" t="str">
        <f aca="false">IFERROR(INDEX(値リスト!$G$3:$G$11,MATCH(I99,値リスト!$H$3:$H$11,0)),"")</f>
        <v>raw</v>
      </c>
      <c r="K99" s="1" t="n">
        <v>1</v>
      </c>
      <c r="L99" s="12" t="s">
        <v>1146</v>
      </c>
      <c r="N99" s="97" t="s">
        <v>125</v>
      </c>
      <c r="O99" s="1"/>
      <c r="P99" s="1"/>
      <c r="Q99" s="1"/>
      <c r="R99" s="1"/>
      <c r="S99" s="1"/>
      <c r="T99" s="1"/>
      <c r="U99" s="1"/>
      <c r="V99" s="1"/>
      <c r="W99" s="1"/>
      <c r="X99" s="1"/>
      <c r="Y99" s="1"/>
      <c r="Z99" s="1"/>
      <c r="AA99" s="1"/>
    </row>
    <row r="100" customFormat="false" ht="15.75" hidden="false" customHeight="true" outlineLevel="0" collapsed="false">
      <c r="A100" s="14" t="s">
        <v>806</v>
      </c>
      <c r="B100" s="13" t="n">
        <v>4</v>
      </c>
      <c r="C100" s="98" t="s">
        <v>129</v>
      </c>
      <c r="D100" s="101" t="str">
        <f aca="false">IFERROR(INDEX(値リスト!$G$25:$G$29,MATCH(C100,値リスト!$H$25:$H$29,0)),"")</f>
        <v>itemId</v>
      </c>
      <c r="E100" s="13" t="s">
        <v>604</v>
      </c>
      <c r="F100" s="98"/>
      <c r="G100" s="101"/>
      <c r="H100" s="13"/>
      <c r="I100" s="12" t="s">
        <v>37</v>
      </c>
      <c r="J100" s="1" t="str">
        <f aca="false">IFERROR(INDEX(値リスト!$G$3:$G$11,MATCH(I100,値リスト!$H$3:$H$11,0)),"")</f>
        <v>raw</v>
      </c>
      <c r="K100" s="1" t="n">
        <v>1</v>
      </c>
      <c r="L100" s="12" t="s">
        <v>1147</v>
      </c>
      <c r="N100" s="97" t="s">
        <v>125</v>
      </c>
      <c r="O100" s="1"/>
      <c r="P100" s="1"/>
      <c r="Q100" s="1"/>
      <c r="R100" s="1"/>
      <c r="S100" s="1"/>
      <c r="T100" s="1"/>
      <c r="U100" s="1"/>
      <c r="V100" s="1"/>
      <c r="W100" s="1"/>
      <c r="X100" s="1"/>
      <c r="Y100" s="1"/>
      <c r="Z100" s="1"/>
      <c r="AA100" s="1"/>
    </row>
    <row r="101" customFormat="false" ht="15.75" hidden="false" customHeight="true" outlineLevel="0" collapsed="false">
      <c r="C101" s="105"/>
      <c r="D101" s="106"/>
      <c r="F101" s="105"/>
      <c r="G101" s="106"/>
      <c r="O101" s="1"/>
      <c r="P101" s="1"/>
      <c r="Q101" s="1"/>
      <c r="R101" s="1"/>
      <c r="S101" s="1"/>
      <c r="T101" s="1"/>
      <c r="U101" s="1"/>
      <c r="V101" s="1"/>
      <c r="W101" s="1"/>
      <c r="X101" s="1"/>
      <c r="Y101" s="1"/>
      <c r="Z101" s="1"/>
      <c r="AA101" s="1"/>
    </row>
    <row r="102" customFormat="false" ht="15.75" hidden="false" customHeight="true" outlineLevel="0" collapsed="false">
      <c r="A102" s="14" t="s">
        <v>809</v>
      </c>
      <c r="B102" s="13" t="n">
        <v>1</v>
      </c>
      <c r="C102" s="98" t="s">
        <v>129</v>
      </c>
      <c r="D102" s="101" t="str">
        <f aca="false">IFERROR(INDEX(値リスト!$G$25:$G$29,MATCH(C102,値リスト!$H$25:$H$29,0)),"")</f>
        <v>itemId</v>
      </c>
      <c r="E102" s="13" t="s">
        <v>585</v>
      </c>
      <c r="F102" s="98"/>
      <c r="G102" s="101"/>
      <c r="H102" s="13"/>
      <c r="I102" s="12" t="s">
        <v>37</v>
      </c>
      <c r="J102" s="1" t="str">
        <f aca="false">IFERROR(INDEX(値リスト!$G$3:$G$11,MATCH(I102,値リスト!$H$3:$H$11,0)),"")</f>
        <v>raw</v>
      </c>
      <c r="K102" s="1" t="n">
        <v>1</v>
      </c>
      <c r="L102" s="12" t="s">
        <v>1148</v>
      </c>
      <c r="N102" s="97" t="s">
        <v>975</v>
      </c>
      <c r="O102" s="1"/>
      <c r="P102" s="1"/>
      <c r="Q102" s="1"/>
      <c r="R102" s="1"/>
      <c r="S102" s="1"/>
      <c r="T102" s="1"/>
      <c r="U102" s="1"/>
      <c r="V102" s="1"/>
      <c r="W102" s="1"/>
      <c r="X102" s="1"/>
      <c r="Y102" s="1"/>
      <c r="Z102" s="1"/>
      <c r="AA102" s="1"/>
    </row>
    <row r="103" customFormat="false" ht="15.75" hidden="false" customHeight="true" outlineLevel="0" collapsed="false">
      <c r="A103" s="14" t="s">
        <v>809</v>
      </c>
      <c r="B103" s="13" t="n">
        <v>2</v>
      </c>
      <c r="C103" s="98" t="s">
        <v>136</v>
      </c>
      <c r="D103" s="101" t="str">
        <f aca="false">IFERROR(INDEX(値リスト!$G$25:$G$29,MATCH(C103,値リスト!$H$25:$H$29,0)),"")</f>
        <v>effectId</v>
      </c>
      <c r="E103" s="13" t="s">
        <v>109</v>
      </c>
      <c r="F103" s="98"/>
      <c r="G103" s="101"/>
      <c r="H103" s="13"/>
      <c r="I103" s="12" t="s">
        <v>68</v>
      </c>
      <c r="J103" s="1" t="str">
        <f aca="false">IFERROR(INDEX(値リスト!$G$3:$G$11,MATCH(I103,値リスト!$H$3:$H$11,0)),"")</f>
        <v>distill</v>
      </c>
      <c r="K103" s="1" t="n">
        <v>1</v>
      </c>
      <c r="L103" s="12" t="s">
        <v>1149</v>
      </c>
      <c r="N103" s="97" t="s">
        <v>975</v>
      </c>
      <c r="O103" s="1"/>
      <c r="P103" s="1"/>
      <c r="Q103" s="1"/>
      <c r="R103" s="1"/>
      <c r="S103" s="1"/>
      <c r="T103" s="1"/>
      <c r="U103" s="1"/>
      <c r="V103" s="1"/>
      <c r="W103" s="1"/>
      <c r="X103" s="1"/>
      <c r="Y103" s="1"/>
      <c r="Z103" s="1"/>
      <c r="AA103" s="1"/>
    </row>
    <row r="104" customFormat="false" ht="15.75" hidden="false" customHeight="true" outlineLevel="0" collapsed="false">
      <c r="A104" s="14" t="s">
        <v>809</v>
      </c>
      <c r="B104" s="13" t="n">
        <v>3</v>
      </c>
      <c r="C104" s="98" t="s">
        <v>129</v>
      </c>
      <c r="D104" s="101" t="str">
        <f aca="false">IFERROR(INDEX(値リスト!$G$25:$G$29,MATCH(C104,値リスト!$H$25:$H$29,0)),"")</f>
        <v>itemId</v>
      </c>
      <c r="E104" s="13" t="s">
        <v>670</v>
      </c>
      <c r="F104" s="98"/>
      <c r="G104" s="101"/>
      <c r="H104" s="13"/>
      <c r="I104" s="12" t="s">
        <v>37</v>
      </c>
      <c r="J104" s="1" t="str">
        <f aca="false">IFERROR(INDEX(値リスト!$G$3:$G$11,MATCH(I104,値リスト!$H$3:$H$11,0)),"")</f>
        <v>raw</v>
      </c>
      <c r="K104" s="1" t="n">
        <v>1</v>
      </c>
      <c r="L104" s="12" t="s">
        <v>1150</v>
      </c>
      <c r="N104" s="97" t="s">
        <v>975</v>
      </c>
      <c r="O104" s="1"/>
      <c r="P104" s="1"/>
      <c r="Q104" s="1"/>
      <c r="R104" s="1"/>
      <c r="S104" s="1"/>
      <c r="T104" s="1"/>
      <c r="U104" s="1"/>
      <c r="V104" s="1"/>
      <c r="W104" s="1"/>
      <c r="X104" s="1"/>
      <c r="Y104" s="1"/>
      <c r="Z104" s="1"/>
      <c r="AA104" s="1"/>
    </row>
    <row r="105" customFormat="false" ht="15.75" hidden="false" customHeight="true" outlineLevel="0" collapsed="false">
      <c r="A105" s="14" t="s">
        <v>809</v>
      </c>
      <c r="B105" s="13" t="n">
        <v>4</v>
      </c>
      <c r="C105" s="98" t="s">
        <v>129</v>
      </c>
      <c r="D105" s="101" t="str">
        <f aca="false">IFERROR(INDEX(値リスト!$G$25:$G$29,MATCH(C105,値リスト!$H$25:$H$29,0)),"")</f>
        <v>itemId</v>
      </c>
      <c r="E105" s="13" t="s">
        <v>690</v>
      </c>
      <c r="F105" s="98"/>
      <c r="G105" s="101"/>
      <c r="H105" s="13"/>
      <c r="I105" s="12" t="s">
        <v>37</v>
      </c>
      <c r="J105" s="1" t="str">
        <f aca="false">IFERROR(INDEX(値リスト!$G$3:$G$11,MATCH(I105,値リスト!$H$3:$H$11,0)),"")</f>
        <v>raw</v>
      </c>
      <c r="K105" s="1" t="n">
        <v>1</v>
      </c>
      <c r="L105" s="12" t="s">
        <v>1151</v>
      </c>
      <c r="N105" s="97" t="s">
        <v>975</v>
      </c>
      <c r="O105" s="1"/>
      <c r="P105" s="1"/>
      <c r="Q105" s="1"/>
      <c r="R105" s="1"/>
      <c r="S105" s="1"/>
      <c r="T105" s="1"/>
      <c r="U105" s="1"/>
      <c r="V105" s="1"/>
      <c r="W105" s="1"/>
      <c r="X105" s="1"/>
      <c r="Y105" s="1"/>
      <c r="Z105" s="1"/>
      <c r="AA105" s="1"/>
    </row>
    <row r="106" customFormat="false" ht="15.75" hidden="false" customHeight="true" outlineLevel="0" collapsed="false">
      <c r="C106" s="105"/>
      <c r="D106" s="106"/>
      <c r="F106" s="105"/>
      <c r="G106" s="106"/>
      <c r="O106" s="1"/>
      <c r="P106" s="1"/>
      <c r="Q106" s="1"/>
      <c r="R106" s="1"/>
      <c r="S106" s="1"/>
      <c r="T106" s="1"/>
      <c r="U106" s="1"/>
      <c r="V106" s="1"/>
      <c r="W106" s="1"/>
      <c r="X106" s="1"/>
      <c r="Y106" s="1"/>
      <c r="Z106" s="1"/>
      <c r="AA106" s="1"/>
    </row>
    <row r="107" customFormat="false" ht="15.75" hidden="false" customHeight="true" outlineLevel="0" collapsed="false">
      <c r="A107" s="14" t="s">
        <v>635</v>
      </c>
      <c r="B107" s="13" t="n">
        <v>1</v>
      </c>
      <c r="C107" s="98" t="s">
        <v>129</v>
      </c>
      <c r="D107" s="101" t="str">
        <f aca="false">IFERROR(INDEX(値リスト!$G$25:$G$29,MATCH(C107,値リスト!$H$25:$H$29,0)),"")</f>
        <v>itemId</v>
      </c>
      <c r="E107" s="13" t="s">
        <v>518</v>
      </c>
      <c r="F107" s="98"/>
      <c r="G107" s="101"/>
      <c r="H107" s="13"/>
      <c r="I107" s="12" t="s">
        <v>68</v>
      </c>
      <c r="J107" s="1" t="str">
        <f aca="false">IFERROR(INDEX(値リスト!$G$3:$G$11,MATCH(I107,値リスト!$H$3:$H$11,0)),"")</f>
        <v>distill</v>
      </c>
      <c r="K107" s="1" t="n">
        <v>1</v>
      </c>
      <c r="L107" s="12" t="s">
        <v>1152</v>
      </c>
      <c r="N107" s="97" t="s">
        <v>125</v>
      </c>
      <c r="O107" s="1"/>
      <c r="P107" s="1"/>
      <c r="Q107" s="1"/>
      <c r="R107" s="1"/>
      <c r="S107" s="1"/>
      <c r="T107" s="1"/>
      <c r="U107" s="1"/>
      <c r="V107" s="1"/>
      <c r="W107" s="1"/>
      <c r="X107" s="1"/>
      <c r="Y107" s="1"/>
      <c r="Z107" s="1"/>
      <c r="AA107" s="1"/>
    </row>
    <row r="108" customFormat="false" ht="15.75" hidden="false" customHeight="true" outlineLevel="0" collapsed="false">
      <c r="C108" s="105"/>
      <c r="D108" s="106"/>
      <c r="F108" s="105"/>
      <c r="G108" s="106"/>
      <c r="O108" s="1"/>
      <c r="P108" s="1"/>
      <c r="Q108" s="1"/>
      <c r="R108" s="1"/>
      <c r="S108" s="1"/>
      <c r="T108" s="1"/>
      <c r="U108" s="1"/>
      <c r="V108" s="1"/>
      <c r="W108" s="1"/>
      <c r="X108" s="1"/>
      <c r="Y108" s="1"/>
      <c r="Z108" s="1"/>
      <c r="AA108" s="1"/>
    </row>
    <row r="109" customFormat="false" ht="15.75" hidden="false" customHeight="true" outlineLevel="0" collapsed="false">
      <c r="A109" s="14" t="s">
        <v>631</v>
      </c>
      <c r="B109" s="13" t="n">
        <v>1</v>
      </c>
      <c r="C109" s="98" t="s">
        <v>129</v>
      </c>
      <c r="D109" s="101" t="str">
        <f aca="false">IFERROR(INDEX(値リスト!$G$25:$G$29,MATCH(C109,値リスト!$H$25:$H$29,0)),"")</f>
        <v>itemId</v>
      </c>
      <c r="E109" s="13" t="s">
        <v>526</v>
      </c>
      <c r="F109" s="98"/>
      <c r="G109" s="101"/>
      <c r="H109" s="13"/>
      <c r="I109" s="12" t="s">
        <v>29</v>
      </c>
      <c r="J109" s="1" t="str">
        <f aca="false">IFERROR(INDEX(値リスト!$G$3:$G$11,MATCH(I109,値リスト!$H$3:$H$11,0)),"")</f>
        <v>dry</v>
      </c>
      <c r="K109" s="1" t="n">
        <v>1</v>
      </c>
      <c r="L109" s="12" t="s">
        <v>1153</v>
      </c>
      <c r="N109" s="97" t="s">
        <v>125</v>
      </c>
      <c r="O109" s="1"/>
      <c r="P109" s="1"/>
      <c r="Q109" s="1"/>
      <c r="R109" s="1"/>
      <c r="S109" s="1"/>
      <c r="T109" s="1"/>
      <c r="U109" s="1"/>
      <c r="V109" s="1"/>
      <c r="W109" s="1"/>
      <c r="X109" s="1"/>
      <c r="Y109" s="1"/>
      <c r="Z109" s="1"/>
      <c r="AA109" s="1"/>
    </row>
    <row r="110" customFormat="false" ht="15.75" hidden="false" customHeight="true" outlineLevel="0" collapsed="false">
      <c r="C110" s="105"/>
      <c r="D110" s="106"/>
      <c r="F110" s="105"/>
      <c r="G110" s="106"/>
      <c r="O110" s="1"/>
      <c r="P110" s="1"/>
      <c r="Q110" s="1"/>
      <c r="R110" s="1"/>
      <c r="S110" s="1"/>
      <c r="T110" s="1"/>
      <c r="U110" s="1"/>
      <c r="V110" s="1"/>
      <c r="W110" s="1"/>
      <c r="X110" s="1"/>
      <c r="Y110" s="1"/>
      <c r="Z110" s="1"/>
      <c r="AA110" s="1"/>
    </row>
    <row r="111" customFormat="false" ht="15.75" hidden="false" customHeight="true" outlineLevel="0" collapsed="false">
      <c r="A111" s="14" t="s">
        <v>639</v>
      </c>
      <c r="B111" s="13" t="n">
        <v>1</v>
      </c>
      <c r="C111" s="98" t="s">
        <v>129</v>
      </c>
      <c r="D111" s="101" t="str">
        <f aca="false">IFERROR(INDEX(値リスト!$G$25:$G$29,MATCH(C111,値リスト!$H$25:$H$29,0)),"")</f>
        <v>itemId</v>
      </c>
      <c r="E111" s="13" t="s">
        <v>470</v>
      </c>
      <c r="F111" s="98"/>
      <c r="G111" s="101"/>
      <c r="H111" s="13"/>
      <c r="I111" s="12" t="s">
        <v>13</v>
      </c>
      <c r="J111" s="1" t="str">
        <f aca="false">IFERROR(INDEX(値リスト!$G$3:$G$11,MATCH(I111,値リスト!$H$3:$H$11,0)),"")</f>
        <v>grind</v>
      </c>
      <c r="K111" s="1" t="n">
        <v>1</v>
      </c>
      <c r="L111" s="12" t="s">
        <v>1154</v>
      </c>
      <c r="N111" s="97" t="s">
        <v>125</v>
      </c>
      <c r="O111" s="1"/>
      <c r="P111" s="1"/>
      <c r="Q111" s="1"/>
      <c r="R111" s="1"/>
      <c r="S111" s="1"/>
      <c r="T111" s="1"/>
      <c r="U111" s="1"/>
      <c r="V111" s="1"/>
      <c r="W111" s="1"/>
      <c r="X111" s="1"/>
      <c r="Y111" s="1"/>
      <c r="Z111" s="1"/>
      <c r="AA111" s="1"/>
    </row>
    <row r="112" customFormat="false" ht="15.75" hidden="false" customHeight="true" outlineLevel="0" collapsed="false">
      <c r="C112" s="105"/>
      <c r="D112" s="106"/>
      <c r="F112" s="105"/>
      <c r="G112" s="106"/>
      <c r="O112" s="1"/>
      <c r="P112" s="1"/>
      <c r="Q112" s="1"/>
      <c r="R112" s="1"/>
      <c r="S112" s="1"/>
      <c r="T112" s="1"/>
      <c r="U112" s="1"/>
      <c r="V112" s="1"/>
      <c r="W112" s="1"/>
      <c r="X112" s="1"/>
      <c r="Y112" s="1"/>
      <c r="Z112" s="1"/>
      <c r="AA112" s="1"/>
    </row>
    <row r="113" customFormat="false" ht="15.75" hidden="false" customHeight="true" outlineLevel="0" collapsed="false">
      <c r="A113" s="14" t="s">
        <v>614</v>
      </c>
      <c r="B113" s="13" t="n">
        <v>1</v>
      </c>
      <c r="C113" s="98" t="s">
        <v>131</v>
      </c>
      <c r="D113" s="101" t="str">
        <f aca="false">IFERROR(INDEX(値リスト!$G$25:$G$29,MATCH(C113,値リスト!$H$25:$H$29,0)),"")</f>
        <v>categoryId</v>
      </c>
      <c r="E113" s="13" t="s">
        <v>8</v>
      </c>
      <c r="F113" s="98"/>
      <c r="G113" s="101"/>
      <c r="H113" s="13"/>
      <c r="I113" s="12" t="s">
        <v>53</v>
      </c>
      <c r="J113" s="1" t="str">
        <f aca="false">IFERROR(INDEX(値リスト!$G$3:$G$11,MATCH(I113,値リスト!$H$3:$H$11,0)),"")</f>
        <v>burn</v>
      </c>
      <c r="K113" s="1" t="n">
        <v>1</v>
      </c>
      <c r="L113" s="12" t="s">
        <v>1155</v>
      </c>
      <c r="N113" s="97" t="s">
        <v>125</v>
      </c>
      <c r="O113" s="1"/>
      <c r="P113" s="1"/>
      <c r="Q113" s="1"/>
      <c r="R113" s="1"/>
      <c r="S113" s="1"/>
      <c r="T113" s="1"/>
      <c r="U113" s="1"/>
      <c r="V113" s="1"/>
      <c r="W113" s="1"/>
      <c r="X113" s="1"/>
      <c r="Y113" s="1"/>
      <c r="Z113" s="1"/>
      <c r="AA113" s="1"/>
    </row>
    <row r="114" customFormat="false" ht="15.75" hidden="false" customHeight="true" outlineLevel="0" collapsed="false">
      <c r="C114" s="105"/>
      <c r="D114" s="106"/>
      <c r="F114" s="105"/>
      <c r="G114" s="106"/>
      <c r="O114" s="1"/>
      <c r="P114" s="1"/>
      <c r="Q114" s="1"/>
      <c r="R114" s="1"/>
      <c r="S114" s="1"/>
      <c r="T114" s="1"/>
      <c r="U114" s="1"/>
      <c r="V114" s="1"/>
      <c r="W114" s="1"/>
      <c r="X114" s="1"/>
      <c r="Y114" s="1"/>
      <c r="Z114" s="1"/>
      <c r="AA114" s="1"/>
    </row>
    <row r="115" customFormat="false" ht="15.75" hidden="false" customHeight="true" outlineLevel="0" collapsed="false">
      <c r="A115" s="14" t="s">
        <v>619</v>
      </c>
      <c r="B115" s="13" t="n">
        <v>1</v>
      </c>
      <c r="C115" s="98" t="s">
        <v>131</v>
      </c>
      <c r="D115" s="101" t="str">
        <f aca="false">IFERROR(INDEX(値リスト!$G$25:$G$29,MATCH(C115,値リスト!$H$25:$H$29,0)),"")</f>
        <v>categoryId</v>
      </c>
      <c r="E115" s="13" t="s">
        <v>32</v>
      </c>
      <c r="F115" s="98"/>
      <c r="G115" s="101"/>
      <c r="H115" s="13"/>
      <c r="I115" s="12" t="s">
        <v>13</v>
      </c>
      <c r="J115" s="1" t="str">
        <f aca="false">IFERROR(INDEX(値リスト!$G$3:$G$11,MATCH(I115,値リスト!$H$3:$H$11,0)),"")</f>
        <v>grind</v>
      </c>
      <c r="K115" s="1" t="n">
        <v>1</v>
      </c>
      <c r="L115" s="12" t="s">
        <v>1156</v>
      </c>
      <c r="N115" s="97" t="s">
        <v>125</v>
      </c>
      <c r="O115" s="1"/>
      <c r="P115" s="1"/>
      <c r="Q115" s="1"/>
      <c r="R115" s="1"/>
      <c r="S115" s="1"/>
      <c r="T115" s="1"/>
      <c r="U115" s="1"/>
      <c r="V115" s="1"/>
      <c r="W115" s="1"/>
      <c r="X115" s="1"/>
      <c r="Y115" s="1"/>
      <c r="Z115" s="1"/>
      <c r="AA115" s="1"/>
    </row>
    <row r="116" customFormat="false" ht="15.75" hidden="false" customHeight="true" outlineLevel="0" collapsed="false">
      <c r="C116" s="105"/>
      <c r="D116" s="106"/>
      <c r="F116" s="105"/>
      <c r="G116" s="106"/>
      <c r="O116" s="1"/>
      <c r="P116" s="1"/>
      <c r="Q116" s="1"/>
      <c r="R116" s="1"/>
      <c r="S116" s="1"/>
      <c r="T116" s="1"/>
      <c r="U116" s="1"/>
      <c r="V116" s="1"/>
      <c r="W116" s="1"/>
      <c r="X116" s="1"/>
      <c r="Y116" s="1"/>
      <c r="Z116" s="1"/>
      <c r="AA116" s="1"/>
    </row>
    <row r="117" customFormat="false" ht="15.75" hidden="false" customHeight="true" outlineLevel="0" collapsed="false">
      <c r="A117" s="14" t="s">
        <v>627</v>
      </c>
      <c r="B117" s="13" t="n">
        <v>1</v>
      </c>
      <c r="C117" s="98" t="s">
        <v>131</v>
      </c>
      <c r="D117" s="101" t="str">
        <f aca="false">IFERROR(INDEX(値リスト!$G$25:$G$29,MATCH(C117,値リスト!$H$25:$H$29,0)),"")</f>
        <v>categoryId</v>
      </c>
      <c r="E117" s="13" t="s">
        <v>40</v>
      </c>
      <c r="F117" s="98"/>
      <c r="G117" s="101"/>
      <c r="H117" s="13"/>
      <c r="I117" s="12" t="s">
        <v>53</v>
      </c>
      <c r="J117" s="1" t="str">
        <f aca="false">IFERROR(INDEX(値リスト!$G$3:$G$11,MATCH(I117,値リスト!$H$3:$H$11,0)),"")</f>
        <v>burn</v>
      </c>
      <c r="K117" s="1" t="n">
        <v>1</v>
      </c>
      <c r="L117" s="12" t="s">
        <v>1157</v>
      </c>
      <c r="N117" s="97" t="s">
        <v>125</v>
      </c>
      <c r="O117" s="1"/>
      <c r="P117" s="1"/>
      <c r="Q117" s="1"/>
      <c r="R117" s="1"/>
      <c r="S117" s="1"/>
      <c r="T117" s="1"/>
      <c r="U117" s="1"/>
      <c r="V117" s="1"/>
      <c r="W117" s="1"/>
      <c r="X117" s="1"/>
      <c r="Y117" s="1"/>
      <c r="Z117" s="1"/>
      <c r="AA117" s="1"/>
    </row>
    <row r="118" customFormat="false" ht="15.75" hidden="false" customHeight="true" outlineLevel="0" collapsed="false">
      <c r="C118" s="105"/>
      <c r="D118" s="106"/>
      <c r="F118" s="105"/>
      <c r="G118" s="106"/>
      <c r="O118" s="1"/>
      <c r="P118" s="1"/>
      <c r="Q118" s="1"/>
      <c r="R118" s="1"/>
      <c r="S118" s="1"/>
      <c r="T118" s="1"/>
      <c r="U118" s="1"/>
      <c r="V118" s="1"/>
      <c r="W118" s="1"/>
      <c r="X118" s="1"/>
      <c r="Y118" s="1"/>
      <c r="Z118" s="1"/>
      <c r="AA118" s="1"/>
    </row>
    <row r="119" customFormat="false" ht="15.75" hidden="false" customHeight="true" outlineLevel="0" collapsed="false">
      <c r="A119" s="14" t="s">
        <v>643</v>
      </c>
      <c r="B119" s="13" t="n">
        <v>1</v>
      </c>
      <c r="C119" s="98" t="s">
        <v>131</v>
      </c>
      <c r="D119" s="101" t="str">
        <f aca="false">IFERROR(INDEX(値リスト!$G$25:$G$29,MATCH(C119,値リスト!$H$25:$H$29,0)),"")</f>
        <v>categoryId</v>
      </c>
      <c r="E119" s="13" t="s">
        <v>16</v>
      </c>
      <c r="F119" s="98"/>
      <c r="G119" s="101"/>
      <c r="H119" s="13"/>
      <c r="I119" s="12" t="s">
        <v>45</v>
      </c>
      <c r="J119" s="1" t="str">
        <f aca="false">IFERROR(INDEX(値リスト!$G$3:$G$11,MATCH(I119,値リスト!$H$3:$H$11,0)),"")</f>
        <v>ferment</v>
      </c>
      <c r="K119" s="1" t="n">
        <v>1</v>
      </c>
      <c r="L119" s="12" t="s">
        <v>1158</v>
      </c>
      <c r="N119" s="97" t="s">
        <v>125</v>
      </c>
      <c r="O119" s="1"/>
      <c r="P119" s="1"/>
      <c r="Q119" s="1"/>
      <c r="R119" s="1"/>
      <c r="S119" s="1"/>
      <c r="T119" s="1"/>
      <c r="U119" s="1"/>
      <c r="V119" s="1"/>
      <c r="W119" s="1"/>
      <c r="X119" s="1"/>
      <c r="Y119" s="1"/>
      <c r="Z119" s="1"/>
      <c r="AA119" s="1"/>
    </row>
    <row r="120" customFormat="false" ht="15.75" hidden="false" customHeight="true" outlineLevel="0" collapsed="false">
      <c r="C120" s="105"/>
      <c r="D120" s="106"/>
      <c r="F120" s="105"/>
      <c r="G120" s="106"/>
      <c r="O120" s="1"/>
      <c r="P120" s="1"/>
      <c r="Q120" s="1"/>
      <c r="R120" s="1"/>
      <c r="S120" s="1"/>
      <c r="T120" s="1"/>
      <c r="U120" s="1"/>
      <c r="V120" s="1"/>
      <c r="W120" s="1"/>
      <c r="X120" s="1"/>
      <c r="Y120" s="1"/>
      <c r="Z120" s="1"/>
      <c r="AA120" s="1"/>
    </row>
    <row r="121" customFormat="false" ht="15.75" hidden="false" customHeight="true" outlineLevel="0" collapsed="false">
      <c r="A121" s="14" t="s">
        <v>623</v>
      </c>
      <c r="B121" s="13" t="n">
        <v>1</v>
      </c>
      <c r="C121" s="98" t="s">
        <v>131</v>
      </c>
      <c r="D121" s="101" t="str">
        <f aca="false">IFERROR(INDEX(値リスト!$G$25:$G$29,MATCH(C121,値リスト!$H$25:$H$29,0)),"")</f>
        <v>categoryId</v>
      </c>
      <c r="E121" s="13" t="s">
        <v>8</v>
      </c>
      <c r="F121" s="98" t="s">
        <v>136</v>
      </c>
      <c r="G121" s="101" t="str">
        <f aca="false">IFERROR(INDEX(値リスト!$G$25:$G$29,MATCH(F121,値リスト!$H$25:$H$29,0)),"")</f>
        <v>effectId</v>
      </c>
      <c r="H121" s="13" t="s">
        <v>71</v>
      </c>
      <c r="I121" s="12" t="s">
        <v>29</v>
      </c>
      <c r="J121" s="1" t="str">
        <f aca="false">IFERROR(INDEX(値リスト!$G$3:$G$11,MATCH(I121,値リスト!$H$3:$H$11,0)),"")</f>
        <v>dry</v>
      </c>
      <c r="K121" s="1" t="n">
        <v>1</v>
      </c>
      <c r="L121" s="12" t="s">
        <v>1159</v>
      </c>
      <c r="N121" s="97" t="s">
        <v>125</v>
      </c>
      <c r="O121" s="1"/>
      <c r="P121" s="1"/>
      <c r="Q121" s="1"/>
      <c r="R121" s="1"/>
      <c r="S121" s="1"/>
      <c r="T121" s="1"/>
      <c r="U121" s="1"/>
      <c r="V121" s="1"/>
      <c r="W121" s="1"/>
      <c r="X121" s="1"/>
      <c r="Y121" s="1"/>
      <c r="Z121" s="1"/>
      <c r="AA121" s="1"/>
    </row>
    <row r="122" customFormat="false" ht="15.75" hidden="false" customHeight="true" outlineLevel="0" collapsed="false">
      <c r="C122" s="105"/>
      <c r="D122" s="106"/>
      <c r="F122" s="105"/>
      <c r="G122" s="106"/>
      <c r="O122" s="1"/>
      <c r="P122" s="1"/>
      <c r="Q122" s="1"/>
      <c r="R122" s="1"/>
      <c r="S122" s="1"/>
      <c r="T122" s="1"/>
      <c r="U122" s="1"/>
      <c r="V122" s="1"/>
      <c r="W122" s="1"/>
      <c r="X122" s="1"/>
      <c r="Y122" s="1"/>
      <c r="Z122" s="1"/>
      <c r="AA122" s="1"/>
    </row>
    <row r="123" customFormat="false" ht="15.75" hidden="false" customHeight="true" outlineLevel="0" collapsed="false">
      <c r="A123" s="14" t="s">
        <v>647</v>
      </c>
      <c r="B123" s="13" t="n">
        <v>1</v>
      </c>
      <c r="C123" s="98" t="s">
        <v>129</v>
      </c>
      <c r="D123" s="101" t="str">
        <f aca="false">IFERROR(INDEX(値リスト!$G$25:$G$29,MATCH(C123,値リスト!$H$25:$H$29,0)),"")</f>
        <v>itemId</v>
      </c>
      <c r="E123" s="13" t="s">
        <v>613</v>
      </c>
      <c r="F123" s="98"/>
      <c r="G123" s="101"/>
      <c r="H123" s="13"/>
      <c r="I123" s="12" t="s">
        <v>37</v>
      </c>
      <c r="J123" s="1" t="str">
        <f aca="false">IFERROR(INDEX(値リスト!$G$3:$G$11,MATCH(I123,値リスト!$H$3:$H$11,0)),"")</f>
        <v>raw</v>
      </c>
      <c r="K123" s="1" t="n">
        <v>1</v>
      </c>
      <c r="L123" s="12" t="s">
        <v>1160</v>
      </c>
      <c r="N123" s="97" t="s">
        <v>975</v>
      </c>
      <c r="O123" s="1"/>
      <c r="P123" s="1"/>
      <c r="Q123" s="1"/>
      <c r="R123" s="1"/>
      <c r="S123" s="1"/>
      <c r="T123" s="1"/>
      <c r="U123" s="1"/>
      <c r="V123" s="1"/>
      <c r="W123" s="1"/>
      <c r="X123" s="1"/>
      <c r="Y123" s="1"/>
      <c r="Z123" s="1"/>
      <c r="AA123" s="1"/>
    </row>
    <row r="124" customFormat="false" ht="15.75" hidden="false" customHeight="true" outlineLevel="0" collapsed="false">
      <c r="A124" s="14" t="s">
        <v>647</v>
      </c>
      <c r="B124" s="13" t="n">
        <v>2</v>
      </c>
      <c r="C124" s="98" t="s">
        <v>131</v>
      </c>
      <c r="D124" s="101" t="str">
        <f aca="false">IFERROR(INDEX(値リスト!$G$25:$G$29,MATCH(C124,値リスト!$H$25:$H$29,0)),"")</f>
        <v>categoryId</v>
      </c>
      <c r="E124" s="13" t="s">
        <v>24</v>
      </c>
      <c r="F124" s="98"/>
      <c r="G124" s="101"/>
      <c r="H124" s="13"/>
      <c r="I124" s="12" t="s">
        <v>21</v>
      </c>
      <c r="J124" s="1" t="str">
        <f aca="false">IFERROR(INDEX(値リスト!$G$3:$G$11,MATCH(I124,値リスト!$H$3:$H$11,0)),"")</f>
        <v>boil</v>
      </c>
      <c r="K124" s="1" t="n">
        <v>1</v>
      </c>
      <c r="L124" s="12" t="s">
        <v>1161</v>
      </c>
      <c r="N124" s="97" t="s">
        <v>975</v>
      </c>
      <c r="O124" s="1"/>
      <c r="P124" s="1"/>
      <c r="Q124" s="1"/>
      <c r="R124" s="1"/>
      <c r="S124" s="1"/>
      <c r="T124" s="1"/>
      <c r="U124" s="1"/>
      <c r="V124" s="1"/>
      <c r="W124" s="1"/>
      <c r="X124" s="1"/>
      <c r="Y124" s="1"/>
      <c r="Z124" s="1"/>
      <c r="AA124" s="1"/>
    </row>
    <row r="125" customFormat="false" ht="15.75" hidden="false" customHeight="true" outlineLevel="0" collapsed="false">
      <c r="C125" s="105"/>
      <c r="D125" s="106"/>
      <c r="F125" s="105"/>
      <c r="G125" s="106"/>
      <c r="O125" s="1"/>
      <c r="P125" s="1"/>
      <c r="Q125" s="1"/>
      <c r="R125" s="1"/>
      <c r="S125" s="1"/>
      <c r="T125" s="1"/>
      <c r="U125" s="1"/>
      <c r="V125" s="1"/>
      <c r="W125" s="1"/>
      <c r="X125" s="1"/>
      <c r="Y125" s="1"/>
      <c r="Z125" s="1"/>
      <c r="AA125" s="1"/>
    </row>
    <row r="126" customFormat="false" ht="15.75" hidden="false" customHeight="true" outlineLevel="0" collapsed="false">
      <c r="A126" s="14" t="s">
        <v>651</v>
      </c>
      <c r="B126" s="13" t="n">
        <v>1</v>
      </c>
      <c r="C126" s="98" t="s">
        <v>131</v>
      </c>
      <c r="D126" s="101" t="str">
        <f aca="false">IFERROR(INDEX(値リスト!$G$25:$G$29,MATCH(C126,値リスト!$H$25:$H$29,0)),"")</f>
        <v>categoryId</v>
      </c>
      <c r="E126" s="13" t="s">
        <v>40</v>
      </c>
      <c r="F126" s="98" t="s">
        <v>140</v>
      </c>
      <c r="G126" s="101" t="str">
        <f aca="false">IFERROR(INDEX(値リスト!$G$25:$G$29,MATCH(F126,値リスト!$H$25:$H$29,0)),"")</f>
        <v>reactionId</v>
      </c>
      <c r="H126" s="13" t="s">
        <v>137</v>
      </c>
      <c r="I126" s="12" t="s">
        <v>21</v>
      </c>
      <c r="J126" s="1" t="str">
        <f aca="false">IFERROR(INDEX(値リスト!$G$3:$G$11,MATCH(I126,値リスト!$H$3:$H$11,0)),"")</f>
        <v>boil</v>
      </c>
      <c r="K126" s="1" t="n">
        <v>1</v>
      </c>
      <c r="L126" s="12" t="s">
        <v>1162</v>
      </c>
      <c r="N126" s="97" t="s">
        <v>975</v>
      </c>
      <c r="O126" s="1"/>
      <c r="P126" s="1"/>
      <c r="Q126" s="1"/>
      <c r="R126" s="1"/>
      <c r="S126" s="1"/>
      <c r="T126" s="1"/>
      <c r="U126" s="1"/>
      <c r="V126" s="1"/>
      <c r="W126" s="1"/>
      <c r="X126" s="1"/>
      <c r="Y126" s="1"/>
      <c r="Z126" s="1"/>
      <c r="AA126" s="1"/>
    </row>
    <row r="127" customFormat="false" ht="15.75" hidden="false" customHeight="true" outlineLevel="0" collapsed="false">
      <c r="A127" s="14" t="s">
        <v>651</v>
      </c>
      <c r="B127" s="13" t="n">
        <v>2</v>
      </c>
      <c r="C127" s="98" t="s">
        <v>131</v>
      </c>
      <c r="D127" s="101" t="str">
        <f aca="false">IFERROR(INDEX(値リスト!$G$25:$G$29,MATCH(C127,値リスト!$H$25:$H$29,0)),"")</f>
        <v>categoryId</v>
      </c>
      <c r="E127" s="13" t="s">
        <v>24</v>
      </c>
      <c r="F127" s="98"/>
      <c r="G127" s="101"/>
      <c r="H127" s="13"/>
      <c r="I127" s="12" t="s">
        <v>37</v>
      </c>
      <c r="J127" s="1" t="str">
        <f aca="false">IFERROR(INDEX(値リスト!$G$3:$G$11,MATCH(I127,値リスト!$H$3:$H$11,0)),"")</f>
        <v>raw</v>
      </c>
      <c r="K127" s="1" t="n">
        <v>1</v>
      </c>
      <c r="L127" s="12" t="s">
        <v>1098</v>
      </c>
      <c r="N127" s="97" t="s">
        <v>975</v>
      </c>
      <c r="O127" s="1"/>
      <c r="P127" s="1"/>
      <c r="Q127" s="1"/>
      <c r="R127" s="1"/>
      <c r="S127" s="1"/>
      <c r="T127" s="1"/>
      <c r="U127" s="1"/>
      <c r="V127" s="1"/>
      <c r="W127" s="1"/>
      <c r="X127" s="1"/>
      <c r="Y127" s="1"/>
      <c r="Z127" s="1"/>
      <c r="AA127" s="1"/>
    </row>
    <row r="128" customFormat="false" ht="15.75" hidden="false" customHeight="true" outlineLevel="0" collapsed="false">
      <c r="C128" s="105"/>
      <c r="D128" s="106"/>
      <c r="F128" s="105"/>
      <c r="G128" s="106"/>
      <c r="O128" s="1"/>
      <c r="P128" s="1"/>
      <c r="Q128" s="1"/>
      <c r="R128" s="1"/>
      <c r="S128" s="1"/>
      <c r="T128" s="1"/>
      <c r="U128" s="1"/>
      <c r="V128" s="1"/>
      <c r="W128" s="1"/>
      <c r="X128" s="1"/>
      <c r="Y128" s="1"/>
      <c r="Z128" s="1"/>
      <c r="AA128" s="1"/>
    </row>
    <row r="129" customFormat="false" ht="15.75" hidden="false" customHeight="true" outlineLevel="0" collapsed="false">
      <c r="A129" s="14" t="s">
        <v>655</v>
      </c>
      <c r="B129" s="13" t="n">
        <v>1</v>
      </c>
      <c r="C129" s="98" t="s">
        <v>129</v>
      </c>
      <c r="D129" s="101" t="str">
        <f aca="false">IFERROR(INDEX(値リスト!$G$25:$G$29,MATCH(C129,値リスト!$H$25:$H$29,0)),"")</f>
        <v>itemId</v>
      </c>
      <c r="E129" s="13" t="s">
        <v>557</v>
      </c>
      <c r="F129" s="98"/>
      <c r="G129" s="101"/>
      <c r="H129" s="13"/>
      <c r="I129" s="12" t="s">
        <v>21</v>
      </c>
      <c r="J129" s="1" t="str">
        <f aca="false">IFERROR(INDEX(値リスト!$G$3:$G$11,MATCH(I129,値リスト!$H$3:$H$11,0)),"")</f>
        <v>boil</v>
      </c>
      <c r="K129" s="1" t="n">
        <v>1</v>
      </c>
      <c r="L129" s="12" t="s">
        <v>1163</v>
      </c>
      <c r="N129" s="97" t="s">
        <v>125</v>
      </c>
      <c r="O129" s="1"/>
      <c r="P129" s="1"/>
      <c r="Q129" s="1"/>
      <c r="R129" s="1"/>
      <c r="S129" s="1"/>
      <c r="T129" s="1"/>
      <c r="U129" s="1"/>
      <c r="V129" s="1"/>
      <c r="W129" s="1"/>
      <c r="X129" s="1"/>
      <c r="Y129" s="1"/>
      <c r="Z129" s="1"/>
      <c r="AA129" s="1"/>
    </row>
    <row r="130" customFormat="false" ht="15.75" hidden="false" customHeight="true" outlineLevel="0" collapsed="false">
      <c r="A130" s="14" t="s">
        <v>655</v>
      </c>
      <c r="B130" s="13" t="n">
        <v>2</v>
      </c>
      <c r="C130" s="98" t="s">
        <v>129</v>
      </c>
      <c r="D130" s="101" t="str">
        <f aca="false">IFERROR(INDEX(値リスト!$G$25:$G$29,MATCH(C130,値リスト!$H$25:$H$29,0)),"")</f>
        <v>itemId</v>
      </c>
      <c r="E130" s="13" t="s">
        <v>646</v>
      </c>
      <c r="F130" s="98"/>
      <c r="G130" s="101"/>
      <c r="H130" s="13"/>
      <c r="I130" s="12" t="s">
        <v>37</v>
      </c>
      <c r="J130" s="1" t="str">
        <f aca="false">IFERROR(INDEX(値リスト!$G$3:$G$11,MATCH(I130,値リスト!$H$3:$H$11,0)),"")</f>
        <v>raw</v>
      </c>
      <c r="K130" s="1" t="n">
        <v>1</v>
      </c>
      <c r="L130" s="12" t="s">
        <v>1164</v>
      </c>
      <c r="N130" s="97" t="s">
        <v>125</v>
      </c>
      <c r="O130" s="1"/>
      <c r="P130" s="1"/>
      <c r="Q130" s="1"/>
      <c r="R130" s="1"/>
      <c r="S130" s="1"/>
      <c r="T130" s="1"/>
      <c r="U130" s="1"/>
      <c r="V130" s="1"/>
      <c r="W130" s="1"/>
      <c r="X130" s="1"/>
      <c r="Y130" s="1"/>
      <c r="Z130" s="1"/>
      <c r="AA130" s="1"/>
    </row>
    <row r="131" customFormat="false" ht="15.75" hidden="false" customHeight="true" outlineLevel="0" collapsed="false">
      <c r="C131" s="105"/>
      <c r="D131" s="106"/>
      <c r="F131" s="105"/>
      <c r="G131" s="106"/>
      <c r="O131" s="1"/>
      <c r="P131" s="1"/>
      <c r="Q131" s="1"/>
      <c r="R131" s="1"/>
      <c r="S131" s="1"/>
      <c r="T131" s="1"/>
      <c r="U131" s="1"/>
      <c r="V131" s="1"/>
      <c r="W131" s="1"/>
      <c r="X131" s="1"/>
      <c r="Y131" s="1"/>
      <c r="Z131" s="1"/>
      <c r="AA131" s="1"/>
    </row>
    <row r="132" customFormat="false" ht="15.75" hidden="false" customHeight="true" outlineLevel="0" collapsed="false">
      <c r="A132" s="14" t="s">
        <v>659</v>
      </c>
      <c r="B132" s="13" t="n">
        <v>1</v>
      </c>
      <c r="C132" s="98" t="s">
        <v>129</v>
      </c>
      <c r="D132" s="101" t="str">
        <f aca="false">IFERROR(INDEX(値リスト!$G$25:$G$29,MATCH(C132,値リスト!$H$25:$H$29,0)),"")</f>
        <v>itemId</v>
      </c>
      <c r="E132" s="13" t="s">
        <v>650</v>
      </c>
      <c r="F132" s="98"/>
      <c r="G132" s="101"/>
      <c r="H132" s="13"/>
      <c r="I132" s="12" t="s">
        <v>37</v>
      </c>
      <c r="J132" s="1" t="str">
        <f aca="false">IFERROR(INDEX(値リスト!$G$3:$G$11,MATCH(I132,値リスト!$H$3:$H$11,0)),"")</f>
        <v>raw</v>
      </c>
      <c r="K132" s="1" t="n">
        <v>1</v>
      </c>
      <c r="L132" s="12" t="s">
        <v>1160</v>
      </c>
      <c r="N132" s="97" t="s">
        <v>975</v>
      </c>
      <c r="O132" s="1"/>
      <c r="P132" s="1"/>
      <c r="Q132" s="1"/>
      <c r="R132" s="1"/>
      <c r="S132" s="1"/>
      <c r="T132" s="1"/>
      <c r="U132" s="1"/>
      <c r="V132" s="1"/>
      <c r="W132" s="1"/>
      <c r="X132" s="1"/>
      <c r="Y132" s="1"/>
      <c r="Z132" s="1"/>
      <c r="AA132" s="1"/>
    </row>
    <row r="133" customFormat="false" ht="15.75" hidden="false" customHeight="true" outlineLevel="0" collapsed="false">
      <c r="A133" s="14" t="s">
        <v>659</v>
      </c>
      <c r="B133" s="13" t="n">
        <v>2</v>
      </c>
      <c r="C133" s="98" t="s">
        <v>131</v>
      </c>
      <c r="D133" s="101" t="str">
        <f aca="false">IFERROR(INDEX(値リスト!$G$25:$G$29,MATCH(C133,値リスト!$H$25:$H$29,0)),"")</f>
        <v>categoryId</v>
      </c>
      <c r="E133" s="13" t="s">
        <v>8</v>
      </c>
      <c r="F133" s="98" t="s">
        <v>140</v>
      </c>
      <c r="G133" s="101" t="str">
        <f aca="false">IFERROR(INDEX(値リスト!$G$25:$G$29,MATCH(F133,値リスト!$H$25:$H$29,0)),"")</f>
        <v>reactionId</v>
      </c>
      <c r="H133" s="13" t="s">
        <v>149</v>
      </c>
      <c r="I133" s="12" t="s">
        <v>65</v>
      </c>
      <c r="J133" s="1" t="str">
        <f aca="false">IFERROR(INDEX(値リスト!$G$3:$G$11,MATCH(I133,値リスト!$H$3:$H$11,0)),"")</f>
        <v>dissolve</v>
      </c>
      <c r="K133" s="1" t="n">
        <v>1</v>
      </c>
      <c r="L133" s="12" t="s">
        <v>1165</v>
      </c>
      <c r="N133" s="97" t="s">
        <v>975</v>
      </c>
      <c r="O133" s="1"/>
      <c r="P133" s="1"/>
      <c r="Q133" s="1"/>
      <c r="R133" s="1"/>
      <c r="S133" s="1"/>
      <c r="T133" s="1"/>
      <c r="U133" s="1"/>
      <c r="V133" s="1"/>
      <c r="W133" s="1"/>
      <c r="X133" s="1"/>
      <c r="Y133" s="1"/>
      <c r="Z133" s="1"/>
      <c r="AA133" s="1"/>
    </row>
    <row r="134" customFormat="false" ht="15.75" hidden="false" customHeight="true" outlineLevel="0" collapsed="false">
      <c r="C134" s="105"/>
      <c r="D134" s="106"/>
      <c r="F134" s="105"/>
      <c r="G134" s="106"/>
      <c r="O134" s="1"/>
      <c r="P134" s="1"/>
      <c r="Q134" s="1"/>
      <c r="R134" s="1"/>
      <c r="S134" s="1"/>
      <c r="T134" s="1"/>
      <c r="U134" s="1"/>
      <c r="V134" s="1"/>
      <c r="W134" s="1"/>
      <c r="X134" s="1"/>
      <c r="Y134" s="1"/>
      <c r="Z134" s="1"/>
      <c r="AA134" s="1"/>
    </row>
    <row r="135" customFormat="false" ht="15.75" hidden="false" customHeight="true" outlineLevel="0" collapsed="false">
      <c r="A135" s="14" t="s">
        <v>663</v>
      </c>
      <c r="B135" s="13" t="n">
        <v>1</v>
      </c>
      <c r="C135" s="98" t="s">
        <v>136</v>
      </c>
      <c r="D135" s="101" t="str">
        <f aca="false">IFERROR(INDEX(値リスト!$G$25:$G$29,MATCH(C135,値リスト!$H$25:$H$29,0)),"")</f>
        <v>effectId</v>
      </c>
      <c r="E135" s="13" t="s">
        <v>76</v>
      </c>
      <c r="F135" s="98"/>
      <c r="G135" s="101"/>
      <c r="H135" s="13"/>
      <c r="I135" s="12" t="s">
        <v>21</v>
      </c>
      <c r="J135" s="1" t="str">
        <f aca="false">IFERROR(INDEX(値リスト!$G$3:$G$11,MATCH(I135,値リスト!$H$3:$H$11,0)),"")</f>
        <v>boil</v>
      </c>
      <c r="K135" s="1" t="n">
        <v>1</v>
      </c>
      <c r="L135" s="12" t="s">
        <v>1166</v>
      </c>
      <c r="N135" s="97" t="s">
        <v>975</v>
      </c>
      <c r="O135" s="1"/>
      <c r="P135" s="1"/>
      <c r="Q135" s="1"/>
      <c r="R135" s="1"/>
      <c r="S135" s="1"/>
      <c r="T135" s="1"/>
      <c r="U135" s="1"/>
      <c r="V135" s="1"/>
      <c r="W135" s="1"/>
      <c r="X135" s="1"/>
      <c r="Y135" s="1"/>
      <c r="Z135" s="1"/>
      <c r="AA135" s="1"/>
    </row>
    <row r="136" customFormat="false" ht="15.75" hidden="false" customHeight="true" outlineLevel="0" collapsed="false">
      <c r="A136" s="14" t="s">
        <v>663</v>
      </c>
      <c r="B136" s="13" t="n">
        <v>2</v>
      </c>
      <c r="C136" s="98" t="s">
        <v>129</v>
      </c>
      <c r="D136" s="101" t="str">
        <f aca="false">IFERROR(INDEX(値リスト!$G$25:$G$29,MATCH(C136,値リスト!$H$25:$H$29,0)),"")</f>
        <v>itemId</v>
      </c>
      <c r="E136" s="13" t="s">
        <v>592</v>
      </c>
      <c r="F136" s="98"/>
      <c r="G136" s="101"/>
      <c r="H136" s="13"/>
      <c r="I136" s="12" t="s">
        <v>37</v>
      </c>
      <c r="J136" s="1" t="str">
        <f aca="false">IFERROR(INDEX(値リスト!$G$3:$G$11,MATCH(I136,値リスト!$H$3:$H$11,0)),"")</f>
        <v>raw</v>
      </c>
      <c r="K136" s="1" t="n">
        <v>1</v>
      </c>
      <c r="L136" s="12" t="s">
        <v>1167</v>
      </c>
      <c r="N136" s="97" t="s">
        <v>975</v>
      </c>
      <c r="O136" s="1"/>
      <c r="P136" s="1"/>
      <c r="Q136" s="1"/>
      <c r="R136" s="1"/>
      <c r="S136" s="1"/>
      <c r="T136" s="1"/>
      <c r="U136" s="1"/>
      <c r="V136" s="1"/>
      <c r="W136" s="1"/>
      <c r="X136" s="1"/>
      <c r="Y136" s="1"/>
      <c r="Z136" s="1"/>
      <c r="AA136" s="1"/>
    </row>
    <row r="137" customFormat="false" ht="15.75" hidden="false" customHeight="true" outlineLevel="0" collapsed="false">
      <c r="C137" s="105"/>
      <c r="D137" s="106"/>
      <c r="F137" s="105"/>
      <c r="G137" s="106"/>
      <c r="O137" s="1"/>
      <c r="P137" s="1"/>
      <c r="Q137" s="1"/>
      <c r="R137" s="1"/>
      <c r="S137" s="1"/>
      <c r="T137" s="1"/>
      <c r="U137" s="1"/>
      <c r="V137" s="1"/>
      <c r="W137" s="1"/>
      <c r="X137" s="1"/>
      <c r="Y137" s="1"/>
      <c r="Z137" s="1"/>
      <c r="AA137" s="1"/>
    </row>
    <row r="138" customFormat="false" ht="15.75" hidden="false" customHeight="true" outlineLevel="0" collapsed="false">
      <c r="A138" s="14" t="s">
        <v>667</v>
      </c>
      <c r="B138" s="13" t="n">
        <v>1</v>
      </c>
      <c r="C138" s="98" t="s">
        <v>136</v>
      </c>
      <c r="D138" s="101" t="str">
        <f aca="false">IFERROR(INDEX(値リスト!$G$25:$G$29,MATCH(C138,値リスト!$H$25:$H$29,0)),"")</f>
        <v>effectId</v>
      </c>
      <c r="E138" s="13" t="s">
        <v>119</v>
      </c>
      <c r="F138" s="98"/>
      <c r="G138" s="101"/>
      <c r="H138" s="13"/>
      <c r="I138" s="12" t="s">
        <v>65</v>
      </c>
      <c r="J138" s="1" t="str">
        <f aca="false">IFERROR(INDEX(値リスト!$G$3:$G$11,MATCH(I138,値リスト!$H$3:$H$11,0)),"")</f>
        <v>dissolve</v>
      </c>
      <c r="K138" s="1" t="n">
        <v>1</v>
      </c>
      <c r="L138" s="12" t="s">
        <v>1168</v>
      </c>
      <c r="N138" s="97" t="s">
        <v>975</v>
      </c>
      <c r="O138" s="1"/>
      <c r="P138" s="1"/>
      <c r="Q138" s="1"/>
      <c r="R138" s="1"/>
      <c r="S138" s="1"/>
      <c r="T138" s="1"/>
      <c r="U138" s="1"/>
      <c r="V138" s="1"/>
      <c r="W138" s="1"/>
      <c r="X138" s="1"/>
      <c r="Y138" s="1"/>
      <c r="Z138" s="1"/>
      <c r="AA138" s="1"/>
    </row>
    <row r="139" customFormat="false" ht="15.75" hidden="false" customHeight="true" outlineLevel="0" collapsed="false">
      <c r="A139" s="14" t="s">
        <v>667</v>
      </c>
      <c r="B139" s="13" t="n">
        <v>2</v>
      </c>
      <c r="C139" s="98" t="s">
        <v>129</v>
      </c>
      <c r="D139" s="101" t="str">
        <f aca="false">IFERROR(INDEX(値リスト!$G$25:$G$29,MATCH(C139,値リスト!$H$25:$H$29,0)),"")</f>
        <v>itemId</v>
      </c>
      <c r="E139" s="13" t="s">
        <v>582</v>
      </c>
      <c r="F139" s="98"/>
      <c r="G139" s="101"/>
      <c r="H139" s="13"/>
      <c r="I139" s="12" t="s">
        <v>37</v>
      </c>
      <c r="J139" s="1" t="str">
        <f aca="false">IFERROR(INDEX(値リスト!$G$3:$G$11,MATCH(I139,値リスト!$H$3:$H$11,0)),"")</f>
        <v>raw</v>
      </c>
      <c r="K139" s="1" t="n">
        <v>1</v>
      </c>
      <c r="L139" s="12" t="s">
        <v>1169</v>
      </c>
      <c r="N139" s="97" t="s">
        <v>975</v>
      </c>
      <c r="O139" s="1"/>
      <c r="P139" s="1"/>
      <c r="Q139" s="1"/>
      <c r="R139" s="1"/>
      <c r="S139" s="1"/>
      <c r="T139" s="1"/>
      <c r="U139" s="1"/>
      <c r="V139" s="1"/>
      <c r="W139" s="1"/>
      <c r="X139" s="1"/>
      <c r="Y139" s="1"/>
      <c r="Z139" s="1"/>
      <c r="AA139" s="1"/>
    </row>
    <row r="140" customFormat="false" ht="15.75" hidden="false" customHeight="true" outlineLevel="0" collapsed="false">
      <c r="C140" s="105"/>
      <c r="D140" s="106"/>
      <c r="F140" s="105"/>
      <c r="G140" s="106"/>
      <c r="O140" s="1"/>
      <c r="P140" s="1"/>
      <c r="Q140" s="1"/>
      <c r="R140" s="1"/>
      <c r="S140" s="1"/>
      <c r="T140" s="1"/>
      <c r="U140" s="1"/>
      <c r="V140" s="1"/>
      <c r="W140" s="1"/>
      <c r="X140" s="1"/>
      <c r="Y140" s="1"/>
      <c r="Z140" s="1"/>
      <c r="AA140" s="1"/>
    </row>
    <row r="141" customFormat="false" ht="15.75" hidden="false" customHeight="true" outlineLevel="0" collapsed="false">
      <c r="A141" s="14" t="s">
        <v>671</v>
      </c>
      <c r="B141" s="13" t="n">
        <v>1</v>
      </c>
      <c r="C141" s="98" t="s">
        <v>136</v>
      </c>
      <c r="D141" s="101" t="str">
        <f aca="false">IFERROR(INDEX(値リスト!$G$25:$G$29,MATCH(C141,値リスト!$H$25:$H$29,0)),"")</f>
        <v>effectId</v>
      </c>
      <c r="E141" s="13" t="s">
        <v>109</v>
      </c>
      <c r="F141" s="98"/>
      <c r="G141" s="101"/>
      <c r="H141" s="13"/>
      <c r="I141" s="12" t="s">
        <v>13</v>
      </c>
      <c r="J141" s="1" t="str">
        <f aca="false">IFERROR(INDEX(値リスト!$G$3:$G$11,MATCH(I141,値リスト!$H$3:$H$11,0)),"")</f>
        <v>grind</v>
      </c>
      <c r="K141" s="1" t="n">
        <v>1</v>
      </c>
      <c r="L141" s="12" t="s">
        <v>1170</v>
      </c>
      <c r="N141" s="97" t="s">
        <v>125</v>
      </c>
      <c r="O141" s="1"/>
      <c r="P141" s="1"/>
      <c r="Q141" s="1"/>
      <c r="R141" s="1"/>
      <c r="S141" s="1"/>
      <c r="T141" s="1"/>
      <c r="U141" s="1"/>
      <c r="V141" s="1"/>
      <c r="W141" s="1"/>
      <c r="X141" s="1"/>
      <c r="Y141" s="1"/>
      <c r="Z141" s="1"/>
      <c r="AA141" s="1"/>
    </row>
    <row r="142" customFormat="false" ht="15.75" hidden="false" customHeight="true" outlineLevel="0" collapsed="false">
      <c r="A142" s="14" t="s">
        <v>671</v>
      </c>
      <c r="B142" s="13" t="n">
        <v>2</v>
      </c>
      <c r="C142" s="98" t="s">
        <v>129</v>
      </c>
      <c r="D142" s="101" t="str">
        <f aca="false">IFERROR(INDEX(値リスト!$G$25:$G$29,MATCH(C142,値リスト!$H$25:$H$29,0)),"")</f>
        <v>itemId</v>
      </c>
      <c r="E142" s="13" t="s">
        <v>618</v>
      </c>
      <c r="F142" s="98"/>
      <c r="G142" s="101"/>
      <c r="H142" s="13"/>
      <c r="I142" s="12" t="s">
        <v>37</v>
      </c>
      <c r="J142" s="1" t="str">
        <f aca="false">IFERROR(INDEX(値リスト!$G$3:$G$11,MATCH(I142,値リスト!$H$3:$H$11,0)),"")</f>
        <v>raw</v>
      </c>
      <c r="K142" s="1" t="n">
        <v>1</v>
      </c>
      <c r="L142" s="12" t="s">
        <v>1171</v>
      </c>
      <c r="N142" s="97" t="s">
        <v>125</v>
      </c>
      <c r="O142" s="1"/>
      <c r="P142" s="1"/>
      <c r="Q142" s="1"/>
      <c r="R142" s="1"/>
      <c r="S142" s="1"/>
      <c r="T142" s="1"/>
      <c r="U142" s="1"/>
      <c r="V142" s="1"/>
      <c r="W142" s="1"/>
      <c r="X142" s="1"/>
      <c r="Y142" s="1"/>
      <c r="Z142" s="1"/>
      <c r="AA142" s="1"/>
    </row>
    <row r="143" customFormat="false" ht="15.75" hidden="false" customHeight="true" outlineLevel="0" collapsed="false">
      <c r="C143" s="105"/>
      <c r="D143" s="106"/>
      <c r="F143" s="105"/>
      <c r="G143" s="106"/>
      <c r="O143" s="1"/>
      <c r="P143" s="1"/>
      <c r="Q143" s="1"/>
      <c r="R143" s="1"/>
      <c r="S143" s="1"/>
      <c r="T143" s="1"/>
      <c r="U143" s="1"/>
      <c r="V143" s="1"/>
      <c r="W143" s="1"/>
      <c r="X143" s="1"/>
      <c r="Y143" s="1"/>
      <c r="Z143" s="1"/>
      <c r="AA143" s="1"/>
    </row>
    <row r="144" customFormat="false" ht="15.75" hidden="false" customHeight="true" outlineLevel="0" collapsed="false">
      <c r="A144" s="14" t="s">
        <v>675</v>
      </c>
      <c r="B144" s="13" t="n">
        <v>1</v>
      </c>
      <c r="C144" s="98" t="s">
        <v>129</v>
      </c>
      <c r="D144" s="101" t="str">
        <f aca="false">IFERROR(INDEX(値リスト!$G$25:$G$29,MATCH(C144,値リスト!$H$25:$H$29,0)),"")</f>
        <v>itemId</v>
      </c>
      <c r="E144" s="13" t="s">
        <v>596</v>
      </c>
      <c r="F144" s="98"/>
      <c r="G144" s="101"/>
      <c r="H144" s="13"/>
      <c r="I144" s="12" t="s">
        <v>68</v>
      </c>
      <c r="J144" s="1" t="str">
        <f aca="false">IFERROR(INDEX(値リスト!$G$3:$G$11,MATCH(I144,値リスト!$H$3:$H$11,0)),"")</f>
        <v>distill</v>
      </c>
      <c r="K144" s="1" t="n">
        <v>1</v>
      </c>
      <c r="L144" s="12" t="s">
        <v>1160</v>
      </c>
      <c r="N144" s="97" t="s">
        <v>975</v>
      </c>
      <c r="O144" s="1"/>
      <c r="P144" s="1"/>
      <c r="Q144" s="1"/>
      <c r="R144" s="1"/>
      <c r="S144" s="1"/>
      <c r="T144" s="1"/>
      <c r="U144" s="1"/>
      <c r="V144" s="1"/>
      <c r="W144" s="1"/>
      <c r="X144" s="1"/>
      <c r="Y144" s="1"/>
      <c r="Z144" s="1"/>
      <c r="AA144" s="1"/>
    </row>
    <row r="145" customFormat="false" ht="15.75" hidden="false" customHeight="true" outlineLevel="0" collapsed="false">
      <c r="A145" s="14" t="s">
        <v>675</v>
      </c>
      <c r="B145" s="13" t="n">
        <v>2</v>
      </c>
      <c r="C145" s="98" t="s">
        <v>129</v>
      </c>
      <c r="D145" s="101" t="str">
        <f aca="false">IFERROR(INDEX(値リスト!$G$25:$G$29,MATCH(C145,値リスト!$H$25:$H$29,0)),"")</f>
        <v>itemId</v>
      </c>
      <c r="E145" s="13" t="s">
        <v>642</v>
      </c>
      <c r="F145" s="98"/>
      <c r="G145" s="101"/>
      <c r="H145" s="13"/>
      <c r="I145" s="12" t="s">
        <v>37</v>
      </c>
      <c r="J145" s="1" t="str">
        <f aca="false">IFERROR(INDEX(値リスト!$G$3:$G$11,MATCH(I145,値リスト!$H$3:$H$11,0)),"")</f>
        <v>raw</v>
      </c>
      <c r="K145" s="1" t="n">
        <v>1</v>
      </c>
      <c r="L145" s="12" t="s">
        <v>1172</v>
      </c>
      <c r="N145" s="97" t="s">
        <v>975</v>
      </c>
      <c r="O145" s="1"/>
      <c r="P145" s="1"/>
      <c r="Q145" s="1"/>
      <c r="R145" s="1"/>
      <c r="S145" s="1"/>
      <c r="T145" s="1"/>
      <c r="U145" s="1"/>
      <c r="V145" s="1"/>
      <c r="W145" s="1"/>
      <c r="X145" s="1"/>
      <c r="Y145" s="1"/>
      <c r="Z145" s="1"/>
      <c r="AA145" s="1"/>
    </row>
    <row r="146" customFormat="false" ht="15.75" hidden="false" customHeight="true" outlineLevel="0" collapsed="false">
      <c r="C146" s="105"/>
      <c r="D146" s="106"/>
      <c r="F146" s="105"/>
      <c r="G146" s="106"/>
      <c r="O146" s="1"/>
      <c r="P146" s="1"/>
      <c r="Q146" s="1"/>
      <c r="R146" s="1"/>
      <c r="S146" s="1"/>
      <c r="T146" s="1"/>
      <c r="U146" s="1"/>
      <c r="V146" s="1"/>
      <c r="W146" s="1"/>
      <c r="X146" s="1"/>
      <c r="Y146" s="1"/>
      <c r="Z146" s="1"/>
      <c r="AA146" s="1"/>
    </row>
    <row r="147" customFormat="false" ht="15.75" hidden="false" customHeight="true" outlineLevel="0" collapsed="false">
      <c r="A147" s="14" t="s">
        <v>679</v>
      </c>
      <c r="B147" s="13" t="n">
        <v>1</v>
      </c>
      <c r="C147" s="98" t="s">
        <v>129</v>
      </c>
      <c r="D147" s="101" t="str">
        <f aca="false">IFERROR(INDEX(値リスト!$G$25:$G$29,MATCH(C147,値リスト!$H$25:$H$29,0)),"")</f>
        <v>itemId</v>
      </c>
      <c r="E147" s="13" t="s">
        <v>658</v>
      </c>
      <c r="F147" s="98"/>
      <c r="G147" s="101"/>
      <c r="H147" s="13"/>
      <c r="I147" s="12" t="s">
        <v>37</v>
      </c>
      <c r="J147" s="1" t="str">
        <f aca="false">IFERROR(INDEX(値リスト!$G$3:$G$11,MATCH(I147,値リスト!$H$3:$H$11,0)),"")</f>
        <v>raw</v>
      </c>
      <c r="K147" s="1" t="n">
        <v>1</v>
      </c>
      <c r="L147" s="12" t="s">
        <v>1160</v>
      </c>
      <c r="N147" s="97" t="s">
        <v>975</v>
      </c>
      <c r="O147" s="1"/>
      <c r="P147" s="1"/>
      <c r="Q147" s="1"/>
      <c r="R147" s="1"/>
      <c r="S147" s="1"/>
      <c r="T147" s="1"/>
      <c r="U147" s="1"/>
      <c r="V147" s="1"/>
      <c r="W147" s="1"/>
      <c r="X147" s="1"/>
      <c r="Y147" s="1"/>
      <c r="Z147" s="1"/>
      <c r="AA147" s="1"/>
    </row>
    <row r="148" customFormat="false" ht="15.75" hidden="false" customHeight="true" outlineLevel="0" collapsed="false">
      <c r="A148" s="14" t="s">
        <v>679</v>
      </c>
      <c r="B148" s="13" t="n">
        <v>2</v>
      </c>
      <c r="C148" s="98" t="s">
        <v>129</v>
      </c>
      <c r="D148" s="101" t="str">
        <f aca="false">IFERROR(INDEX(値リスト!$G$25:$G$29,MATCH(C148,値リスト!$H$25:$H$29,0)),"")</f>
        <v>itemId</v>
      </c>
      <c r="E148" s="13" t="s">
        <v>588</v>
      </c>
      <c r="F148" s="98"/>
      <c r="G148" s="101"/>
      <c r="H148" s="13"/>
      <c r="I148" s="12" t="s">
        <v>37</v>
      </c>
      <c r="J148" s="1" t="str">
        <f aca="false">IFERROR(INDEX(値リスト!$G$3:$G$11,MATCH(I148,値リスト!$H$3:$H$11,0)),"")</f>
        <v>raw</v>
      </c>
      <c r="K148" s="1" t="n">
        <v>1</v>
      </c>
      <c r="L148" s="12" t="s">
        <v>1173</v>
      </c>
      <c r="N148" s="97" t="s">
        <v>975</v>
      </c>
      <c r="O148" s="1"/>
      <c r="P148" s="1"/>
      <c r="Q148" s="1"/>
      <c r="R148" s="1"/>
      <c r="S148" s="1"/>
      <c r="T148" s="1"/>
      <c r="U148" s="1"/>
      <c r="V148" s="1"/>
      <c r="W148" s="1"/>
      <c r="X148" s="1"/>
      <c r="Y148" s="1"/>
      <c r="Z148" s="1"/>
      <c r="AA148" s="1"/>
    </row>
    <row r="149" customFormat="false" ht="15.75" hidden="false" customHeight="true" outlineLevel="0" collapsed="false">
      <c r="C149" s="105"/>
      <c r="D149" s="106"/>
      <c r="F149" s="105"/>
      <c r="G149" s="106"/>
      <c r="O149" s="1"/>
      <c r="P149" s="1"/>
      <c r="Q149" s="1"/>
      <c r="R149" s="1"/>
      <c r="S149" s="1"/>
      <c r="T149" s="1"/>
      <c r="U149" s="1"/>
      <c r="V149" s="1"/>
      <c r="W149" s="1"/>
      <c r="X149" s="1"/>
      <c r="Y149" s="1"/>
      <c r="Z149" s="1"/>
      <c r="AA149" s="1"/>
    </row>
    <row r="150" customFormat="false" ht="15.75" hidden="false" customHeight="true" outlineLevel="0" collapsed="false">
      <c r="A150" s="14" t="s">
        <v>683</v>
      </c>
      <c r="B150" s="13" t="n">
        <v>1</v>
      </c>
      <c r="C150" s="98" t="s">
        <v>129</v>
      </c>
      <c r="D150" s="101" t="str">
        <f aca="false">IFERROR(INDEX(値リスト!$G$25:$G$29,MATCH(C150,値リスト!$H$25:$H$29,0)),"")</f>
        <v>itemId</v>
      </c>
      <c r="E150" s="13" t="s">
        <v>613</v>
      </c>
      <c r="F150" s="98"/>
      <c r="G150" s="101"/>
      <c r="H150" s="13"/>
      <c r="I150" s="12" t="s">
        <v>37</v>
      </c>
      <c r="J150" s="1" t="str">
        <f aca="false">IFERROR(INDEX(値リスト!$G$3:$G$11,MATCH(I150,値リスト!$H$3:$H$11,0)),"")</f>
        <v>raw</v>
      </c>
      <c r="K150" s="1" t="n">
        <v>1</v>
      </c>
      <c r="L150" s="12" t="s">
        <v>1160</v>
      </c>
      <c r="N150" s="97" t="s">
        <v>125</v>
      </c>
      <c r="O150" s="1"/>
      <c r="P150" s="1"/>
      <c r="Q150" s="1"/>
      <c r="R150" s="1"/>
      <c r="S150" s="1"/>
      <c r="T150" s="1"/>
      <c r="U150" s="1"/>
      <c r="V150" s="1"/>
      <c r="W150" s="1"/>
      <c r="X150" s="1"/>
      <c r="Y150" s="1"/>
      <c r="Z150" s="1"/>
      <c r="AA150" s="1"/>
    </row>
    <row r="151" customFormat="false" ht="15.75" hidden="false" customHeight="true" outlineLevel="0" collapsed="false">
      <c r="A151" s="14" t="s">
        <v>683</v>
      </c>
      <c r="B151" s="13" t="n">
        <v>2</v>
      </c>
      <c r="C151" s="98" t="s">
        <v>129</v>
      </c>
      <c r="D151" s="101" t="str">
        <f aca="false">IFERROR(INDEX(値リスト!$G$25:$G$29,MATCH(C151,値リスト!$H$25:$H$29,0)),"")</f>
        <v>itemId</v>
      </c>
      <c r="E151" s="13" t="s">
        <v>630</v>
      </c>
      <c r="F151" s="98"/>
      <c r="G151" s="101"/>
      <c r="H151" s="13"/>
      <c r="I151" s="12" t="s">
        <v>65</v>
      </c>
      <c r="J151" s="1" t="str">
        <f aca="false">IFERROR(INDEX(値リスト!$G$3:$G$11,MATCH(I151,値リスト!$H$3:$H$11,0)),"")</f>
        <v>dissolve</v>
      </c>
      <c r="K151" s="1" t="n">
        <v>1</v>
      </c>
      <c r="L151" s="12" t="s">
        <v>1174</v>
      </c>
      <c r="N151" s="97" t="s">
        <v>125</v>
      </c>
      <c r="O151" s="1"/>
      <c r="P151" s="1"/>
      <c r="Q151" s="1"/>
      <c r="R151" s="1"/>
      <c r="S151" s="1"/>
      <c r="T151" s="1"/>
      <c r="U151" s="1"/>
      <c r="V151" s="1"/>
      <c r="W151" s="1"/>
      <c r="X151" s="1"/>
      <c r="Y151" s="1"/>
      <c r="Z151" s="1"/>
      <c r="AA151" s="1"/>
    </row>
    <row r="152" customFormat="false" ht="15.75" hidden="false" customHeight="true" outlineLevel="0" collapsed="false">
      <c r="C152" s="105"/>
      <c r="D152" s="106"/>
      <c r="F152" s="105"/>
      <c r="G152" s="106"/>
      <c r="O152" s="1"/>
      <c r="P152" s="1"/>
      <c r="Q152" s="1"/>
      <c r="R152" s="1"/>
      <c r="S152" s="1"/>
      <c r="T152" s="1"/>
      <c r="U152" s="1"/>
      <c r="V152" s="1"/>
      <c r="W152" s="1"/>
      <c r="X152" s="1"/>
      <c r="Y152" s="1"/>
      <c r="Z152" s="1"/>
      <c r="AA152" s="1"/>
    </row>
    <row r="153" customFormat="false" ht="15.75" hidden="false" customHeight="true" outlineLevel="0" collapsed="false">
      <c r="A153" s="14" t="s">
        <v>687</v>
      </c>
      <c r="B153" s="13" t="n">
        <v>1</v>
      </c>
      <c r="C153" s="98" t="s">
        <v>136</v>
      </c>
      <c r="D153" s="101" t="str">
        <f aca="false">IFERROR(INDEX(値リスト!$G$25:$G$29,MATCH(C153,値リスト!$H$25:$H$29,0)),"")</f>
        <v>effectId</v>
      </c>
      <c r="E153" s="13" t="s">
        <v>91</v>
      </c>
      <c r="F153" s="98"/>
      <c r="G153" s="101"/>
      <c r="H153" s="13"/>
      <c r="I153" s="12" t="s">
        <v>21</v>
      </c>
      <c r="J153" s="1" t="str">
        <f aca="false">IFERROR(INDEX(値リスト!$G$3:$G$11,MATCH(I153,値リスト!$H$3:$H$11,0)),"")</f>
        <v>boil</v>
      </c>
      <c r="K153" s="1" t="n">
        <v>1</v>
      </c>
      <c r="L153" s="12" t="s">
        <v>1175</v>
      </c>
      <c r="N153" s="97" t="s">
        <v>975</v>
      </c>
      <c r="O153" s="1"/>
      <c r="P153" s="1"/>
      <c r="Q153" s="1"/>
      <c r="R153" s="1"/>
      <c r="S153" s="1"/>
      <c r="T153" s="1"/>
      <c r="U153" s="1"/>
      <c r="V153" s="1"/>
      <c r="W153" s="1"/>
      <c r="X153" s="1"/>
      <c r="Y153" s="1"/>
      <c r="Z153" s="1"/>
      <c r="AA153" s="1"/>
    </row>
    <row r="154" customFormat="false" ht="15.75" hidden="false" customHeight="true" outlineLevel="0" collapsed="false">
      <c r="A154" s="14" t="s">
        <v>687</v>
      </c>
      <c r="B154" s="13" t="n">
        <v>2</v>
      </c>
      <c r="C154" s="98" t="s">
        <v>129</v>
      </c>
      <c r="D154" s="101" t="str">
        <f aca="false">IFERROR(INDEX(値リスト!$G$25:$G$29,MATCH(C154,値リスト!$H$25:$H$29,0)),"")</f>
        <v>itemId</v>
      </c>
      <c r="E154" s="13" t="s">
        <v>577</v>
      </c>
      <c r="F154" s="98"/>
      <c r="G154" s="101"/>
      <c r="H154" s="13"/>
      <c r="I154" s="12" t="s">
        <v>37</v>
      </c>
      <c r="J154" s="1" t="str">
        <f aca="false">IFERROR(INDEX(値リスト!$G$3:$G$11,MATCH(I154,値リスト!$H$3:$H$11,0)),"")</f>
        <v>raw</v>
      </c>
      <c r="K154" s="1" t="n">
        <v>1</v>
      </c>
      <c r="L154" s="12" t="s">
        <v>1176</v>
      </c>
      <c r="N154" s="97" t="s">
        <v>975</v>
      </c>
      <c r="O154" s="1"/>
      <c r="P154" s="1"/>
      <c r="Q154" s="1"/>
      <c r="R154" s="1"/>
      <c r="S154" s="1"/>
      <c r="T154" s="1"/>
      <c r="U154" s="1"/>
      <c r="V154" s="1"/>
      <c r="W154" s="1"/>
      <c r="X154" s="1"/>
      <c r="Y154" s="1"/>
      <c r="Z154" s="1"/>
      <c r="AA154" s="1"/>
    </row>
    <row r="155" customFormat="false" ht="15.75" hidden="false" customHeight="true" outlineLevel="0" collapsed="false">
      <c r="C155" s="105"/>
      <c r="D155" s="106"/>
      <c r="F155" s="105"/>
      <c r="G155" s="106"/>
      <c r="O155" s="1"/>
      <c r="P155" s="1"/>
      <c r="Q155" s="1"/>
      <c r="R155" s="1"/>
      <c r="S155" s="1"/>
      <c r="T155" s="1"/>
      <c r="U155" s="1"/>
      <c r="V155" s="1"/>
      <c r="W155" s="1"/>
      <c r="X155" s="1"/>
      <c r="Y155" s="1"/>
      <c r="Z155" s="1"/>
      <c r="AA155" s="1"/>
    </row>
    <row r="156" customFormat="false" ht="15.75" hidden="false" customHeight="true" outlineLevel="0" collapsed="false">
      <c r="A156" s="14" t="s">
        <v>691</v>
      </c>
      <c r="B156" s="13" t="n">
        <v>1</v>
      </c>
      <c r="C156" s="98" t="s">
        <v>136</v>
      </c>
      <c r="D156" s="101" t="str">
        <f aca="false">IFERROR(INDEX(値リスト!$G$25:$G$29,MATCH(C156,値リスト!$H$25:$H$29,0)),"")</f>
        <v>effectId</v>
      </c>
      <c r="E156" s="13" t="s">
        <v>85</v>
      </c>
      <c r="F156" s="98"/>
      <c r="G156" s="101"/>
      <c r="H156" s="13"/>
      <c r="I156" s="12" t="s">
        <v>21</v>
      </c>
      <c r="J156" s="1" t="str">
        <f aca="false">IFERROR(INDEX(値リスト!$G$3:$G$11,MATCH(I156,値リスト!$H$3:$H$11,0)),"")</f>
        <v>boil</v>
      </c>
      <c r="K156" s="1" t="n">
        <v>1</v>
      </c>
      <c r="L156" s="12" t="s">
        <v>1177</v>
      </c>
      <c r="N156" s="97" t="s">
        <v>975</v>
      </c>
      <c r="O156" s="1"/>
      <c r="P156" s="1"/>
      <c r="Q156" s="1"/>
      <c r="R156" s="1"/>
      <c r="S156" s="1"/>
      <c r="T156" s="1"/>
      <c r="U156" s="1"/>
      <c r="V156" s="1"/>
      <c r="W156" s="1"/>
      <c r="X156" s="1"/>
      <c r="Y156" s="1"/>
      <c r="Z156" s="1"/>
      <c r="AA156" s="1"/>
    </row>
    <row r="157" customFormat="false" ht="15.75" hidden="false" customHeight="true" outlineLevel="0" collapsed="false">
      <c r="A157" s="14" t="s">
        <v>691</v>
      </c>
      <c r="B157" s="13" t="n">
        <v>2</v>
      </c>
      <c r="C157" s="98" t="s">
        <v>129</v>
      </c>
      <c r="D157" s="101" t="str">
        <f aca="false">IFERROR(INDEX(値リスト!$G$25:$G$29,MATCH(C157,値リスト!$H$25:$H$29,0)),"")</f>
        <v>itemId</v>
      </c>
      <c r="E157" s="13" t="s">
        <v>577</v>
      </c>
      <c r="F157" s="98"/>
      <c r="G157" s="101"/>
      <c r="H157" s="13"/>
      <c r="I157" s="12" t="s">
        <v>37</v>
      </c>
      <c r="J157" s="1" t="str">
        <f aca="false">IFERROR(INDEX(値リスト!$G$3:$G$11,MATCH(I157,値リスト!$H$3:$H$11,0)),"")</f>
        <v>raw</v>
      </c>
      <c r="K157" s="1" t="n">
        <v>1</v>
      </c>
      <c r="L157" s="12" t="s">
        <v>1176</v>
      </c>
      <c r="N157" s="97" t="s">
        <v>975</v>
      </c>
      <c r="O157" s="1"/>
      <c r="P157" s="1"/>
      <c r="Q157" s="1"/>
      <c r="R157" s="1"/>
      <c r="S157" s="1"/>
      <c r="T157" s="1"/>
      <c r="U157" s="1"/>
      <c r="V157" s="1"/>
      <c r="W157" s="1"/>
      <c r="X157" s="1"/>
      <c r="Y157" s="1"/>
      <c r="Z157" s="1"/>
      <c r="AA157" s="1"/>
    </row>
    <row r="158" customFormat="false" ht="15.75" hidden="false" customHeight="true" outlineLevel="0" collapsed="false">
      <c r="C158" s="105"/>
      <c r="D158" s="106"/>
      <c r="F158" s="105"/>
      <c r="G158" s="106"/>
      <c r="O158" s="1"/>
      <c r="P158" s="1"/>
      <c r="Q158" s="1"/>
      <c r="R158" s="1"/>
      <c r="S158" s="1"/>
      <c r="T158" s="1"/>
      <c r="U158" s="1"/>
      <c r="V158" s="1"/>
      <c r="W158" s="1"/>
      <c r="X158" s="1"/>
      <c r="Y158" s="1"/>
      <c r="Z158" s="1"/>
      <c r="AA158" s="1"/>
    </row>
    <row r="159" customFormat="false" ht="15.75" hidden="false" customHeight="true" outlineLevel="0" collapsed="false">
      <c r="A159" s="14" t="s">
        <v>812</v>
      </c>
      <c r="B159" s="13" t="n">
        <v>1</v>
      </c>
      <c r="C159" s="98" t="s">
        <v>136</v>
      </c>
      <c r="D159" s="101" t="str">
        <f aca="false">IFERROR(INDEX(値リスト!$G$25:$G$29,MATCH(C159,値リスト!$H$25:$H$29,0)),"")</f>
        <v>effectId</v>
      </c>
      <c r="E159" s="13" t="s">
        <v>71</v>
      </c>
      <c r="F159" s="98"/>
      <c r="G159" s="101"/>
      <c r="H159" s="13"/>
      <c r="I159" s="12" t="s">
        <v>21</v>
      </c>
      <c r="J159" s="1" t="str">
        <f aca="false">IFERROR(INDEX(値リスト!$G$3:$G$11,MATCH(I159,値リスト!$H$3:$H$11,0)),"")</f>
        <v>boil</v>
      </c>
      <c r="K159" s="1" t="n">
        <v>1</v>
      </c>
      <c r="L159" s="12" t="s">
        <v>1178</v>
      </c>
      <c r="N159" s="97" t="s">
        <v>125</v>
      </c>
      <c r="O159" s="1"/>
      <c r="P159" s="1"/>
      <c r="Q159" s="1"/>
      <c r="R159" s="1"/>
      <c r="S159" s="1"/>
      <c r="T159" s="1"/>
      <c r="U159" s="1"/>
      <c r="V159" s="1"/>
      <c r="W159" s="1"/>
      <c r="X159" s="1"/>
      <c r="Y159" s="1"/>
      <c r="Z159" s="1"/>
      <c r="AA159" s="1"/>
    </row>
    <row r="160" customFormat="false" ht="15.75" hidden="false" customHeight="true" outlineLevel="0" collapsed="false">
      <c r="A160" s="14" t="s">
        <v>812</v>
      </c>
      <c r="B160" s="13" t="n">
        <v>2</v>
      </c>
      <c r="C160" s="98" t="s">
        <v>129</v>
      </c>
      <c r="D160" s="101" t="str">
        <f aca="false">IFERROR(INDEX(値リスト!$G$25:$G$29,MATCH(C160,値リスト!$H$25:$H$29,0)),"")</f>
        <v>itemId</v>
      </c>
      <c r="E160" s="13" t="s">
        <v>654</v>
      </c>
      <c r="F160" s="98"/>
      <c r="G160" s="101"/>
      <c r="H160" s="13"/>
      <c r="I160" s="12" t="s">
        <v>37</v>
      </c>
      <c r="J160" s="1" t="str">
        <f aca="false">IFERROR(INDEX(値リスト!$G$3:$G$11,MATCH(I160,値リスト!$H$3:$H$11,0)),"")</f>
        <v>raw</v>
      </c>
      <c r="K160" s="1" t="n">
        <v>1</v>
      </c>
      <c r="L160" s="12" t="s">
        <v>1179</v>
      </c>
      <c r="N160" s="97" t="s">
        <v>125</v>
      </c>
      <c r="O160" s="1"/>
      <c r="P160" s="1"/>
      <c r="Q160" s="1"/>
      <c r="R160" s="1"/>
      <c r="S160" s="1"/>
      <c r="T160" s="1"/>
      <c r="U160" s="1"/>
      <c r="V160" s="1"/>
      <c r="W160" s="1"/>
      <c r="X160" s="1"/>
      <c r="Y160" s="1"/>
      <c r="Z160" s="1"/>
      <c r="AA160" s="1"/>
    </row>
    <row r="161" customFormat="false" ht="15.75" hidden="false" customHeight="true" outlineLevel="0" collapsed="false">
      <c r="A161" s="14" t="s">
        <v>812</v>
      </c>
      <c r="B161" s="13" t="n">
        <v>3</v>
      </c>
      <c r="C161" s="98" t="s">
        <v>129</v>
      </c>
      <c r="D161" s="101" t="str">
        <f aca="false">IFERROR(INDEX(値リスト!$G$25:$G$29,MATCH(C161,値リスト!$H$25:$H$29,0)),"")</f>
        <v>itemId</v>
      </c>
      <c r="E161" s="13" t="s">
        <v>650</v>
      </c>
      <c r="F161" s="98"/>
      <c r="G161" s="101"/>
      <c r="H161" s="13"/>
      <c r="I161" s="12" t="s">
        <v>37</v>
      </c>
      <c r="J161" s="1" t="str">
        <f aca="false">IFERROR(INDEX(値リスト!$G$3:$G$11,MATCH(I161,値リスト!$H$3:$H$11,0)),"")</f>
        <v>raw</v>
      </c>
      <c r="K161" s="1" t="n">
        <v>1</v>
      </c>
      <c r="L161" s="12" t="s">
        <v>1180</v>
      </c>
      <c r="N161" s="97" t="s">
        <v>125</v>
      </c>
      <c r="O161" s="1"/>
      <c r="P161" s="1"/>
      <c r="Q161" s="1"/>
      <c r="R161" s="1"/>
      <c r="S161" s="1"/>
      <c r="T161" s="1"/>
      <c r="U161" s="1"/>
      <c r="V161" s="1"/>
      <c r="W161" s="1"/>
      <c r="X161" s="1"/>
      <c r="Y161" s="1"/>
      <c r="Z161" s="1"/>
      <c r="AA161" s="1"/>
    </row>
    <row r="162" customFormat="false" ht="15.75" hidden="false" customHeight="true" outlineLevel="0" collapsed="false">
      <c r="C162" s="105"/>
      <c r="D162" s="106"/>
      <c r="F162" s="105"/>
      <c r="G162" s="106"/>
      <c r="O162" s="1"/>
      <c r="P162" s="1"/>
      <c r="Q162" s="1"/>
      <c r="R162" s="1"/>
      <c r="S162" s="1"/>
      <c r="T162" s="1"/>
      <c r="U162" s="1"/>
      <c r="V162" s="1"/>
      <c r="W162" s="1"/>
      <c r="X162" s="1"/>
      <c r="Y162" s="1"/>
      <c r="Z162" s="1"/>
      <c r="AA162" s="1"/>
    </row>
    <row r="163" customFormat="false" ht="15.75" hidden="false" customHeight="true" outlineLevel="0" collapsed="false">
      <c r="A163" s="14" t="s">
        <v>815</v>
      </c>
      <c r="B163" s="13" t="n">
        <v>1</v>
      </c>
      <c r="C163" s="98" t="s">
        <v>136</v>
      </c>
      <c r="D163" s="101" t="str">
        <f aca="false">IFERROR(INDEX(値リスト!$G$25:$G$29,MATCH(C163,値リスト!$H$25:$H$29,0)),"")</f>
        <v>effectId</v>
      </c>
      <c r="E163" s="13" t="s">
        <v>71</v>
      </c>
      <c r="F163" s="98"/>
      <c r="G163" s="101"/>
      <c r="H163" s="13"/>
      <c r="I163" s="12" t="s">
        <v>29</v>
      </c>
      <c r="J163" s="1" t="str">
        <f aca="false">IFERROR(INDEX(値リスト!$G$3:$G$11,MATCH(I163,値リスト!$H$3:$H$11,0)),"")</f>
        <v>dry</v>
      </c>
      <c r="K163" s="1" t="n">
        <v>1</v>
      </c>
      <c r="L163" s="12" t="s">
        <v>1178</v>
      </c>
      <c r="N163" s="97" t="s">
        <v>125</v>
      </c>
      <c r="O163" s="1"/>
      <c r="P163" s="1"/>
      <c r="Q163" s="1"/>
      <c r="R163" s="1"/>
      <c r="S163" s="1"/>
      <c r="T163" s="1"/>
      <c r="U163" s="1"/>
      <c r="V163" s="1"/>
      <c r="W163" s="1"/>
      <c r="X163" s="1"/>
      <c r="Y163" s="1"/>
      <c r="Z163" s="1"/>
      <c r="AA163" s="1"/>
    </row>
    <row r="164" customFormat="false" ht="15.75" hidden="false" customHeight="true" outlineLevel="0" collapsed="false">
      <c r="A164" s="14" t="s">
        <v>815</v>
      </c>
      <c r="B164" s="13" t="n">
        <v>2</v>
      </c>
      <c r="C164" s="98" t="s">
        <v>140</v>
      </c>
      <c r="D164" s="101" t="str">
        <f aca="false">IFERROR(INDEX(値リスト!$G$25:$G$29,MATCH(C164,値リスト!$H$25:$H$29,0)),"")</f>
        <v>reactionId</v>
      </c>
      <c r="E164" s="13" t="s">
        <v>132</v>
      </c>
      <c r="F164" s="98"/>
      <c r="G164" s="101"/>
      <c r="H164" s="13"/>
      <c r="I164" s="12" t="s">
        <v>13</v>
      </c>
      <c r="J164" s="1" t="str">
        <f aca="false">IFERROR(INDEX(値リスト!$G$3:$G$11,MATCH(I164,値リスト!$H$3:$H$11,0)),"")</f>
        <v>grind</v>
      </c>
      <c r="K164" s="1" t="n">
        <v>1</v>
      </c>
      <c r="L164" s="12" t="s">
        <v>1181</v>
      </c>
      <c r="N164" s="97" t="s">
        <v>125</v>
      </c>
      <c r="O164" s="1"/>
      <c r="P164" s="1"/>
      <c r="Q164" s="1"/>
      <c r="R164" s="1"/>
      <c r="S164" s="1"/>
      <c r="T164" s="1"/>
      <c r="U164" s="1"/>
      <c r="V164" s="1"/>
      <c r="W164" s="1"/>
      <c r="X164" s="1"/>
      <c r="Y164" s="1"/>
      <c r="Z164" s="1"/>
      <c r="AA164" s="1"/>
    </row>
    <row r="165" customFormat="false" ht="15.75" hidden="false" customHeight="true" outlineLevel="0" collapsed="false">
      <c r="A165" s="14" t="s">
        <v>815</v>
      </c>
      <c r="B165" s="13" t="n">
        <v>3</v>
      </c>
      <c r="C165" s="98" t="s">
        <v>129</v>
      </c>
      <c r="D165" s="101" t="str">
        <f aca="false">IFERROR(INDEX(値リスト!$G$25:$G$29,MATCH(C165,値リスト!$H$25:$H$29,0)),"")</f>
        <v>itemId</v>
      </c>
      <c r="E165" s="13" t="s">
        <v>618</v>
      </c>
      <c r="F165" s="98"/>
      <c r="G165" s="101"/>
      <c r="H165" s="13"/>
      <c r="I165" s="12" t="s">
        <v>37</v>
      </c>
      <c r="J165" s="1" t="str">
        <f aca="false">IFERROR(INDEX(値リスト!$G$3:$G$11,MATCH(I165,値リスト!$H$3:$H$11,0)),"")</f>
        <v>raw</v>
      </c>
      <c r="K165" s="1" t="n">
        <v>1</v>
      </c>
      <c r="L165" s="12" t="s">
        <v>1182</v>
      </c>
      <c r="N165" s="97" t="s">
        <v>125</v>
      </c>
      <c r="O165" s="1"/>
      <c r="P165" s="1"/>
      <c r="Q165" s="1"/>
      <c r="R165" s="1"/>
      <c r="S165" s="1"/>
      <c r="T165" s="1"/>
      <c r="U165" s="1"/>
      <c r="V165" s="1"/>
      <c r="W165" s="1"/>
      <c r="X165" s="1"/>
      <c r="Y165" s="1"/>
      <c r="Z165" s="1"/>
      <c r="AA165" s="1"/>
    </row>
    <row r="166" customFormat="false" ht="15.75" hidden="false" customHeight="true" outlineLevel="0" collapsed="false">
      <c r="C166" s="105"/>
      <c r="D166" s="106"/>
      <c r="F166" s="105"/>
      <c r="G166" s="106"/>
      <c r="O166" s="1"/>
      <c r="P166" s="1"/>
      <c r="Q166" s="1"/>
      <c r="R166" s="1"/>
      <c r="S166" s="1"/>
      <c r="T166" s="1"/>
      <c r="U166" s="1"/>
      <c r="V166" s="1"/>
      <c r="W166" s="1"/>
      <c r="X166" s="1"/>
      <c r="Y166" s="1"/>
      <c r="Z166" s="1"/>
      <c r="AA166" s="1"/>
    </row>
    <row r="167" customFormat="false" ht="15.75" hidden="false" customHeight="true" outlineLevel="0" collapsed="false">
      <c r="A167" s="14" t="s">
        <v>818</v>
      </c>
      <c r="B167" s="13" t="n">
        <v>1</v>
      </c>
      <c r="C167" s="98" t="s">
        <v>129</v>
      </c>
      <c r="D167" s="101" t="str">
        <f aca="false">IFERROR(INDEX(値リスト!$G$25:$G$29,MATCH(C167,値リスト!$H$25:$H$29,0)),"")</f>
        <v>itemId</v>
      </c>
      <c r="E167" s="13" t="s">
        <v>674</v>
      </c>
      <c r="F167" s="98"/>
      <c r="G167" s="101"/>
      <c r="H167" s="13"/>
      <c r="I167" s="12" t="s">
        <v>37</v>
      </c>
      <c r="J167" s="1" t="str">
        <f aca="false">IFERROR(INDEX(値リスト!$G$3:$G$11,MATCH(I167,値リスト!$H$3:$H$11,0)),"")</f>
        <v>raw</v>
      </c>
      <c r="K167" s="1" t="n">
        <v>1</v>
      </c>
      <c r="L167" s="12" t="s">
        <v>1178</v>
      </c>
      <c r="N167" s="97" t="s">
        <v>975</v>
      </c>
      <c r="O167" s="1"/>
      <c r="P167" s="1"/>
      <c r="Q167" s="1"/>
      <c r="R167" s="1"/>
      <c r="S167" s="1"/>
      <c r="T167" s="1"/>
      <c r="U167" s="1"/>
      <c r="V167" s="1"/>
      <c r="W167" s="1"/>
      <c r="X167" s="1"/>
      <c r="Y167" s="1"/>
      <c r="Z167" s="1"/>
      <c r="AA167" s="1"/>
    </row>
    <row r="168" customFormat="false" ht="15.75" hidden="false" customHeight="true" outlineLevel="0" collapsed="false">
      <c r="A168" s="14" t="s">
        <v>818</v>
      </c>
      <c r="B168" s="13" t="n">
        <v>2</v>
      </c>
      <c r="C168" s="98" t="s">
        <v>136</v>
      </c>
      <c r="D168" s="101" t="str">
        <f aca="false">IFERROR(INDEX(値リスト!$G$25:$G$29,MATCH(C168,値リスト!$H$25:$H$29,0)),"")</f>
        <v>effectId</v>
      </c>
      <c r="E168" s="13" t="s">
        <v>76</v>
      </c>
      <c r="F168" s="98"/>
      <c r="G168" s="101"/>
      <c r="H168" s="13"/>
      <c r="I168" s="12" t="s">
        <v>65</v>
      </c>
      <c r="J168" s="1" t="str">
        <f aca="false">IFERROR(INDEX(値リスト!$G$3:$G$11,MATCH(I168,値リスト!$H$3:$H$11,0)),"")</f>
        <v>dissolve</v>
      </c>
      <c r="K168" s="1" t="n">
        <v>1</v>
      </c>
      <c r="L168" s="12" t="s">
        <v>1183</v>
      </c>
      <c r="N168" s="97" t="s">
        <v>975</v>
      </c>
      <c r="O168" s="1"/>
      <c r="P168" s="1"/>
      <c r="Q168" s="1"/>
      <c r="R168" s="1"/>
      <c r="S168" s="1"/>
      <c r="T168" s="1"/>
      <c r="U168" s="1"/>
      <c r="V168" s="1"/>
      <c r="W168" s="1"/>
      <c r="X168" s="1"/>
      <c r="Y168" s="1"/>
      <c r="Z168" s="1"/>
      <c r="AA168" s="1"/>
    </row>
    <row r="169" customFormat="false" ht="15.75" hidden="false" customHeight="true" outlineLevel="0" collapsed="false">
      <c r="A169" s="14" t="s">
        <v>818</v>
      </c>
      <c r="B169" s="13" t="n">
        <v>3</v>
      </c>
      <c r="C169" s="98" t="s">
        <v>129</v>
      </c>
      <c r="D169" s="101" t="str">
        <f aca="false">IFERROR(INDEX(値リスト!$G$25:$G$29,MATCH(C169,値リスト!$H$25:$H$29,0)),"")</f>
        <v>itemId</v>
      </c>
      <c r="E169" s="13" t="s">
        <v>577</v>
      </c>
      <c r="F169" s="98"/>
      <c r="G169" s="101"/>
      <c r="H169" s="13"/>
      <c r="I169" s="12" t="s">
        <v>37</v>
      </c>
      <c r="J169" s="1" t="str">
        <f aca="false">IFERROR(INDEX(値リスト!$G$3:$G$11,MATCH(I169,値リスト!$H$3:$H$11,0)),"")</f>
        <v>raw</v>
      </c>
      <c r="K169" s="1" t="n">
        <v>1</v>
      </c>
      <c r="L169" s="12" t="s">
        <v>1184</v>
      </c>
      <c r="N169" s="97" t="s">
        <v>975</v>
      </c>
      <c r="O169" s="1"/>
      <c r="P169" s="1"/>
      <c r="Q169" s="1"/>
      <c r="R169" s="1"/>
      <c r="S169" s="1"/>
      <c r="T169" s="1"/>
      <c r="U169" s="1"/>
      <c r="V169" s="1"/>
      <c r="W169" s="1"/>
      <c r="X169" s="1"/>
      <c r="Y169" s="1"/>
      <c r="Z169" s="1"/>
      <c r="AA169" s="1"/>
    </row>
    <row r="170" customFormat="false" ht="15.75" hidden="false" customHeight="true" outlineLevel="0" collapsed="false">
      <c r="C170" s="105"/>
      <c r="D170" s="106"/>
      <c r="F170" s="105"/>
      <c r="G170" s="106"/>
      <c r="O170" s="1"/>
      <c r="P170" s="1"/>
      <c r="Q170" s="1"/>
      <c r="R170" s="1"/>
      <c r="S170" s="1"/>
      <c r="T170" s="1"/>
      <c r="U170" s="1"/>
      <c r="V170" s="1"/>
      <c r="W170" s="1"/>
      <c r="X170" s="1"/>
      <c r="Y170" s="1"/>
      <c r="Z170" s="1"/>
      <c r="AA170" s="1"/>
    </row>
    <row r="171" customFormat="false" ht="15.75" hidden="false" customHeight="true" outlineLevel="0" collapsed="false">
      <c r="A171" s="14" t="s">
        <v>821</v>
      </c>
      <c r="B171" s="13" t="n">
        <v>1</v>
      </c>
      <c r="C171" s="98" t="s">
        <v>136</v>
      </c>
      <c r="D171" s="101" t="str">
        <f aca="false">IFERROR(INDEX(値リスト!$G$25:$G$29,MATCH(C171,値リスト!$H$25:$H$29,0)),"")</f>
        <v>effectId</v>
      </c>
      <c r="E171" s="13" t="s">
        <v>71</v>
      </c>
      <c r="F171" s="98"/>
      <c r="G171" s="101"/>
      <c r="H171" s="13"/>
      <c r="I171" s="12" t="s">
        <v>21</v>
      </c>
      <c r="J171" s="1" t="str">
        <f aca="false">IFERROR(INDEX(値リスト!$G$3:$G$11,MATCH(I171,値リスト!$H$3:$H$11,0)),"")</f>
        <v>boil</v>
      </c>
      <c r="K171" s="1" t="n">
        <v>1</v>
      </c>
      <c r="L171" s="12" t="s">
        <v>1178</v>
      </c>
      <c r="N171" s="97" t="s">
        <v>975</v>
      </c>
      <c r="O171" s="1"/>
      <c r="P171" s="1"/>
      <c r="Q171" s="1"/>
      <c r="R171" s="1"/>
      <c r="S171" s="1"/>
      <c r="T171" s="1"/>
      <c r="U171" s="1"/>
      <c r="V171" s="1"/>
      <c r="W171" s="1"/>
      <c r="X171" s="1"/>
      <c r="Y171" s="1"/>
      <c r="Z171" s="1"/>
      <c r="AA171" s="1"/>
    </row>
    <row r="172" customFormat="false" ht="15.75" hidden="false" customHeight="true" outlineLevel="0" collapsed="false">
      <c r="A172" s="14" t="s">
        <v>821</v>
      </c>
      <c r="B172" s="13" t="n">
        <v>2</v>
      </c>
      <c r="C172" s="98" t="s">
        <v>129</v>
      </c>
      <c r="D172" s="101" t="str">
        <f aca="false">IFERROR(INDEX(値リスト!$G$25:$G$29,MATCH(C172,値リスト!$H$25:$H$29,0)),"")</f>
        <v>itemId</v>
      </c>
      <c r="E172" s="13" t="s">
        <v>609</v>
      </c>
      <c r="F172" s="98"/>
      <c r="G172" s="101"/>
      <c r="H172" s="13"/>
      <c r="I172" s="12" t="s">
        <v>37</v>
      </c>
      <c r="J172" s="1" t="str">
        <f aca="false">IFERROR(INDEX(値リスト!$G$3:$G$11,MATCH(I172,値リスト!$H$3:$H$11,0)),"")</f>
        <v>raw</v>
      </c>
      <c r="K172" s="1" t="n">
        <v>1</v>
      </c>
      <c r="L172" s="12" t="s">
        <v>1185</v>
      </c>
      <c r="N172" s="97" t="s">
        <v>975</v>
      </c>
      <c r="O172" s="1"/>
      <c r="P172" s="1"/>
      <c r="Q172" s="1"/>
      <c r="R172" s="1"/>
      <c r="S172" s="1"/>
      <c r="T172" s="1"/>
      <c r="U172" s="1"/>
      <c r="V172" s="1"/>
      <c r="W172" s="1"/>
      <c r="X172" s="1"/>
      <c r="Y172" s="1"/>
      <c r="Z172" s="1"/>
      <c r="AA172" s="1"/>
    </row>
    <row r="173" customFormat="false" ht="15.75" hidden="false" customHeight="true" outlineLevel="0" collapsed="false">
      <c r="A173" s="14" t="s">
        <v>821</v>
      </c>
      <c r="B173" s="13" t="n">
        <v>3</v>
      </c>
      <c r="C173" s="98" t="s">
        <v>131</v>
      </c>
      <c r="D173" s="101" t="str">
        <f aca="false">IFERROR(INDEX(値リスト!$G$25:$G$29,MATCH(C173,値リスト!$H$25:$H$29,0)),"")</f>
        <v>categoryId</v>
      </c>
      <c r="E173" s="13" t="s">
        <v>24</v>
      </c>
      <c r="F173" s="98"/>
      <c r="G173" s="101"/>
      <c r="H173" s="13"/>
      <c r="I173" s="12" t="s">
        <v>37</v>
      </c>
      <c r="J173" s="1" t="str">
        <f aca="false">IFERROR(INDEX(値リスト!$G$3:$G$11,MATCH(I173,値リスト!$H$3:$H$11,0)),"")</f>
        <v>raw</v>
      </c>
      <c r="K173" s="1" t="n">
        <v>1</v>
      </c>
      <c r="L173" s="12" t="s">
        <v>1098</v>
      </c>
      <c r="N173" s="97" t="s">
        <v>975</v>
      </c>
      <c r="O173" s="1"/>
      <c r="P173" s="1"/>
      <c r="Q173" s="1"/>
      <c r="R173" s="1"/>
      <c r="S173" s="1"/>
      <c r="T173" s="1"/>
      <c r="U173" s="1"/>
      <c r="V173" s="1"/>
      <c r="W173" s="1"/>
      <c r="X173" s="1"/>
      <c r="Y173" s="1"/>
      <c r="Z173" s="1"/>
      <c r="AA173" s="1"/>
    </row>
    <row r="174" customFormat="false" ht="15.75" hidden="false" customHeight="true" outlineLevel="0" collapsed="false">
      <c r="C174" s="105"/>
      <c r="D174" s="106"/>
      <c r="F174" s="105"/>
      <c r="G174" s="106"/>
      <c r="O174" s="1"/>
      <c r="P174" s="1"/>
      <c r="Q174" s="1"/>
      <c r="R174" s="1"/>
      <c r="S174" s="1"/>
      <c r="T174" s="1"/>
      <c r="U174" s="1"/>
      <c r="V174" s="1"/>
      <c r="W174" s="1"/>
      <c r="X174" s="1"/>
      <c r="Y174" s="1"/>
      <c r="Z174" s="1"/>
      <c r="AA174" s="1"/>
    </row>
    <row r="175" customFormat="false" ht="15.75" hidden="false" customHeight="true" outlineLevel="0" collapsed="false">
      <c r="A175" s="14" t="s">
        <v>824</v>
      </c>
      <c r="B175" s="13" t="n">
        <v>1</v>
      </c>
      <c r="C175" s="98" t="s">
        <v>136</v>
      </c>
      <c r="D175" s="101" t="str">
        <f aca="false">IFERROR(INDEX(値リスト!$G$25:$G$29,MATCH(C175,値リスト!$H$25:$H$29,0)),"")</f>
        <v>effectId</v>
      </c>
      <c r="E175" s="13" t="s">
        <v>79</v>
      </c>
      <c r="F175" s="98"/>
      <c r="G175" s="101"/>
      <c r="H175" s="13"/>
      <c r="I175" s="12" t="s">
        <v>45</v>
      </c>
      <c r="J175" s="1" t="str">
        <f aca="false">IFERROR(INDEX(値リスト!$G$3:$G$11,MATCH(I175,値リスト!$H$3:$H$11,0)),"")</f>
        <v>ferment</v>
      </c>
      <c r="K175" s="1" t="n">
        <v>1</v>
      </c>
      <c r="L175" s="12" t="s">
        <v>1186</v>
      </c>
      <c r="N175" s="97" t="s">
        <v>975</v>
      </c>
      <c r="O175" s="1"/>
      <c r="P175" s="1"/>
      <c r="Q175" s="1"/>
      <c r="R175" s="1"/>
      <c r="S175" s="1"/>
      <c r="T175" s="1"/>
      <c r="U175" s="1"/>
      <c r="V175" s="1"/>
      <c r="W175" s="1"/>
      <c r="X175" s="1"/>
      <c r="Y175" s="1"/>
      <c r="Z175" s="1"/>
      <c r="AA175" s="1"/>
    </row>
    <row r="176" customFormat="false" ht="15.75" hidden="false" customHeight="true" outlineLevel="0" collapsed="false">
      <c r="A176" s="14" t="s">
        <v>824</v>
      </c>
      <c r="B176" s="13" t="n">
        <v>2</v>
      </c>
      <c r="C176" s="98" t="s">
        <v>129</v>
      </c>
      <c r="D176" s="101" t="str">
        <f aca="false">IFERROR(INDEX(値リスト!$G$25:$G$29,MATCH(C176,値リスト!$H$25:$H$29,0)),"")</f>
        <v>itemId</v>
      </c>
      <c r="E176" s="13" t="s">
        <v>674</v>
      </c>
      <c r="F176" s="98"/>
      <c r="G176" s="101"/>
      <c r="H176" s="13"/>
      <c r="I176" s="12" t="s">
        <v>37</v>
      </c>
      <c r="J176" s="1" t="str">
        <f aca="false">IFERROR(INDEX(値リスト!$G$3:$G$11,MATCH(I176,値リスト!$H$3:$H$11,0)),"")</f>
        <v>raw</v>
      </c>
      <c r="K176" s="1" t="n">
        <v>1</v>
      </c>
      <c r="L176" s="12" t="s">
        <v>1187</v>
      </c>
      <c r="N176" s="97" t="s">
        <v>975</v>
      </c>
      <c r="O176" s="1"/>
      <c r="P176" s="1"/>
      <c r="Q176" s="1"/>
      <c r="R176" s="1"/>
      <c r="S176" s="1"/>
      <c r="T176" s="1"/>
      <c r="U176" s="1"/>
      <c r="V176" s="1"/>
      <c r="W176" s="1"/>
      <c r="X176" s="1"/>
      <c r="Y176" s="1"/>
      <c r="Z176" s="1"/>
      <c r="AA176" s="1"/>
    </row>
    <row r="177" customFormat="false" ht="15.75" hidden="false" customHeight="true" outlineLevel="0" collapsed="false">
      <c r="A177" s="14" t="s">
        <v>824</v>
      </c>
      <c r="B177" s="13" t="n">
        <v>3</v>
      </c>
      <c r="C177" s="98" t="s">
        <v>140</v>
      </c>
      <c r="D177" s="101" t="str">
        <f aca="false">IFERROR(INDEX(値リスト!$G$25:$G$29,MATCH(C177,値リスト!$H$25:$H$29,0)),"")</f>
        <v>reactionId</v>
      </c>
      <c r="E177" s="13" t="s">
        <v>149</v>
      </c>
      <c r="F177" s="98"/>
      <c r="G177" s="101"/>
      <c r="H177" s="13"/>
      <c r="I177" s="12" t="s">
        <v>37</v>
      </c>
      <c r="J177" s="1" t="str">
        <f aca="false">IFERROR(INDEX(値リスト!$G$3:$G$11,MATCH(I177,値リスト!$H$3:$H$11,0)),"")</f>
        <v>raw</v>
      </c>
      <c r="K177" s="1" t="n">
        <v>1</v>
      </c>
      <c r="L177" s="12" t="s">
        <v>1188</v>
      </c>
      <c r="N177" s="97" t="s">
        <v>975</v>
      </c>
      <c r="O177" s="1"/>
      <c r="P177" s="1"/>
      <c r="Q177" s="1"/>
      <c r="R177" s="1"/>
      <c r="S177" s="1"/>
      <c r="T177" s="1"/>
      <c r="U177" s="1"/>
      <c r="V177" s="1"/>
      <c r="W177" s="1"/>
      <c r="X177" s="1"/>
      <c r="Y177" s="1"/>
      <c r="Z177" s="1"/>
      <c r="AA177" s="1"/>
    </row>
    <row r="178" customFormat="false" ht="15.75" hidden="false" customHeight="true" outlineLevel="0" collapsed="false">
      <c r="C178" s="105"/>
      <c r="D178" s="106"/>
      <c r="F178" s="105"/>
      <c r="G178" s="106"/>
      <c r="O178" s="1"/>
      <c r="P178" s="1"/>
      <c r="Q178" s="1"/>
      <c r="R178" s="1"/>
      <c r="S178" s="1"/>
      <c r="T178" s="1"/>
      <c r="U178" s="1"/>
      <c r="V178" s="1"/>
      <c r="W178" s="1"/>
      <c r="X178" s="1"/>
      <c r="Y178" s="1"/>
      <c r="Z178" s="1"/>
      <c r="AA178" s="1"/>
    </row>
    <row r="179" customFormat="false" ht="15.75" hidden="false" customHeight="true" outlineLevel="0" collapsed="false">
      <c r="A179" s="14" t="s">
        <v>827</v>
      </c>
      <c r="B179" s="13" t="n">
        <v>1</v>
      </c>
      <c r="C179" s="98" t="s">
        <v>129</v>
      </c>
      <c r="D179" s="101" t="str">
        <f aca="false">IFERROR(INDEX(値リスト!$G$25:$G$29,MATCH(C179,値リスト!$H$25:$H$29,0)),"")</f>
        <v>itemId</v>
      </c>
      <c r="E179" s="13" t="s">
        <v>690</v>
      </c>
      <c r="F179" s="98"/>
      <c r="G179" s="101"/>
      <c r="H179" s="13"/>
      <c r="I179" s="12" t="s">
        <v>37</v>
      </c>
      <c r="J179" s="1" t="str">
        <f aca="false">IFERROR(INDEX(値リスト!$G$3:$G$11,MATCH(I179,値リスト!$H$3:$H$11,0)),"")</f>
        <v>raw</v>
      </c>
      <c r="K179" s="1" t="n">
        <v>1</v>
      </c>
      <c r="L179" s="12" t="s">
        <v>1178</v>
      </c>
      <c r="N179" s="97" t="s">
        <v>125</v>
      </c>
      <c r="O179" s="1"/>
      <c r="P179" s="1"/>
      <c r="Q179" s="1"/>
      <c r="R179" s="1"/>
      <c r="S179" s="1"/>
      <c r="T179" s="1"/>
      <c r="U179" s="1"/>
      <c r="V179" s="1"/>
      <c r="W179" s="1"/>
      <c r="X179" s="1"/>
      <c r="Y179" s="1"/>
      <c r="Z179" s="1"/>
      <c r="AA179" s="1"/>
    </row>
    <row r="180" customFormat="false" ht="15.75" hidden="false" customHeight="true" outlineLevel="0" collapsed="false">
      <c r="A180" s="14" t="s">
        <v>827</v>
      </c>
      <c r="B180" s="13" t="n">
        <v>2</v>
      </c>
      <c r="C180" s="98" t="s">
        <v>140</v>
      </c>
      <c r="D180" s="101" t="str">
        <f aca="false">IFERROR(INDEX(値リスト!$G$25:$G$29,MATCH(C180,値リスト!$H$25:$H$29,0)),"")</f>
        <v>reactionId</v>
      </c>
      <c r="E180" s="13" t="s">
        <v>132</v>
      </c>
      <c r="F180" s="98"/>
      <c r="G180" s="101"/>
      <c r="H180" s="13"/>
      <c r="I180" s="12" t="s">
        <v>37</v>
      </c>
      <c r="J180" s="1" t="str">
        <f aca="false">IFERROR(INDEX(値リスト!$G$3:$G$11,MATCH(I180,値リスト!$H$3:$H$11,0)),"")</f>
        <v>raw</v>
      </c>
      <c r="K180" s="1" t="n">
        <v>1</v>
      </c>
      <c r="L180" s="12" t="s">
        <v>1189</v>
      </c>
      <c r="N180" s="97" t="s">
        <v>125</v>
      </c>
      <c r="O180" s="1"/>
      <c r="P180" s="1"/>
      <c r="Q180" s="1"/>
      <c r="R180" s="1"/>
      <c r="S180" s="1"/>
      <c r="T180" s="1"/>
      <c r="U180" s="1"/>
      <c r="V180" s="1"/>
      <c r="W180" s="1"/>
      <c r="X180" s="1"/>
      <c r="Y180" s="1"/>
      <c r="Z180" s="1"/>
      <c r="AA180" s="1"/>
    </row>
    <row r="181" customFormat="false" ht="15.75" hidden="false" customHeight="true" outlineLevel="0" collapsed="false">
      <c r="A181" s="14" t="s">
        <v>827</v>
      </c>
      <c r="B181" s="13" t="n">
        <v>3</v>
      </c>
      <c r="C181" s="98" t="s">
        <v>129</v>
      </c>
      <c r="D181" s="101" t="str">
        <f aca="false">IFERROR(INDEX(値リスト!$G$25:$G$29,MATCH(C181,値リスト!$H$25:$H$29,0)),"")</f>
        <v>itemId</v>
      </c>
      <c r="E181" s="13" t="s">
        <v>622</v>
      </c>
      <c r="F181" s="98"/>
      <c r="G181" s="101"/>
      <c r="H181" s="13"/>
      <c r="I181" s="12" t="s">
        <v>37</v>
      </c>
      <c r="J181" s="1" t="str">
        <f aca="false">IFERROR(INDEX(値リスト!$G$3:$G$11,MATCH(I181,値リスト!$H$3:$H$11,0)),"")</f>
        <v>raw</v>
      </c>
      <c r="K181" s="1" t="n">
        <v>1</v>
      </c>
      <c r="L181" s="12" t="s">
        <v>1190</v>
      </c>
      <c r="N181" s="97" t="s">
        <v>125</v>
      </c>
      <c r="O181" s="1"/>
      <c r="P181" s="1"/>
      <c r="Q181" s="1"/>
      <c r="R181" s="1"/>
      <c r="S181" s="1"/>
      <c r="T181" s="1"/>
      <c r="U181" s="1"/>
      <c r="V181" s="1"/>
      <c r="W181" s="1"/>
      <c r="X181" s="1"/>
      <c r="Y181" s="1"/>
      <c r="Z181" s="1"/>
      <c r="AA181" s="1"/>
    </row>
    <row r="182" customFormat="false" ht="15.75" hidden="false" customHeight="true" outlineLevel="0" collapsed="false">
      <c r="C182" s="105"/>
      <c r="D182" s="106"/>
      <c r="F182" s="105"/>
      <c r="G182" s="106"/>
      <c r="O182" s="1"/>
      <c r="P182" s="1"/>
      <c r="Q182" s="1"/>
      <c r="R182" s="1"/>
      <c r="S182" s="1"/>
      <c r="T182" s="1"/>
      <c r="U182" s="1"/>
      <c r="V182" s="1"/>
      <c r="W182" s="1"/>
      <c r="X182" s="1"/>
      <c r="Y182" s="1"/>
      <c r="Z182" s="1"/>
      <c r="AA182" s="1"/>
    </row>
    <row r="183" customFormat="false" ht="15.75" hidden="false" customHeight="true" outlineLevel="0" collapsed="false">
      <c r="A183" s="14" t="s">
        <v>830</v>
      </c>
      <c r="B183" s="13" t="n">
        <v>1</v>
      </c>
      <c r="C183" s="98" t="s">
        <v>129</v>
      </c>
      <c r="D183" s="101" t="str">
        <f aca="false">IFERROR(INDEX(値リスト!$G$25:$G$29,MATCH(C183,値リスト!$H$25:$H$29,0)),"")</f>
        <v>itemId</v>
      </c>
      <c r="E183" s="13" t="s">
        <v>686</v>
      </c>
      <c r="F183" s="98"/>
      <c r="G183" s="101"/>
      <c r="H183" s="13"/>
      <c r="I183" s="12" t="s">
        <v>37</v>
      </c>
      <c r="J183" s="1" t="str">
        <f aca="false">IFERROR(INDEX(値リスト!$G$3:$G$11,MATCH(I183,値リスト!$H$3:$H$11,0)),"")</f>
        <v>raw</v>
      </c>
      <c r="K183" s="1" t="n">
        <v>1</v>
      </c>
      <c r="L183" s="12" t="s">
        <v>1178</v>
      </c>
      <c r="N183" s="97" t="s">
        <v>975</v>
      </c>
      <c r="O183" s="1"/>
      <c r="P183" s="1"/>
      <c r="Q183" s="1"/>
      <c r="R183" s="1"/>
      <c r="S183" s="1"/>
      <c r="T183" s="1"/>
      <c r="U183" s="1"/>
      <c r="V183" s="1"/>
      <c r="W183" s="1"/>
      <c r="X183" s="1"/>
      <c r="Y183" s="1"/>
      <c r="Z183" s="1"/>
      <c r="AA183" s="1"/>
    </row>
    <row r="184" customFormat="false" ht="15.75" hidden="false" customHeight="true" outlineLevel="0" collapsed="false">
      <c r="A184" s="14" t="s">
        <v>830</v>
      </c>
      <c r="B184" s="13" t="n">
        <v>2</v>
      </c>
      <c r="C184" s="98" t="s">
        <v>136</v>
      </c>
      <c r="D184" s="101" t="str">
        <f aca="false">IFERROR(INDEX(値リスト!$G$25:$G$29,MATCH(C184,値リスト!$H$25:$H$29,0)),"")</f>
        <v>effectId</v>
      </c>
      <c r="E184" s="13" t="s">
        <v>119</v>
      </c>
      <c r="F184" s="98"/>
      <c r="G184" s="101"/>
      <c r="H184" s="13"/>
      <c r="I184" s="12" t="s">
        <v>65</v>
      </c>
      <c r="J184" s="1" t="str">
        <f aca="false">IFERROR(INDEX(値リスト!$G$3:$G$11,MATCH(I184,値リスト!$H$3:$H$11,0)),"")</f>
        <v>dissolve</v>
      </c>
      <c r="K184" s="1" t="n">
        <v>1</v>
      </c>
      <c r="L184" s="12" t="s">
        <v>1191</v>
      </c>
      <c r="N184" s="97" t="s">
        <v>975</v>
      </c>
      <c r="O184" s="1"/>
      <c r="P184" s="1"/>
      <c r="Q184" s="1"/>
      <c r="R184" s="1"/>
      <c r="S184" s="1"/>
      <c r="T184" s="1"/>
      <c r="U184" s="1"/>
      <c r="V184" s="1"/>
      <c r="W184" s="1"/>
      <c r="X184" s="1"/>
      <c r="Y184" s="1"/>
      <c r="Z184" s="1"/>
      <c r="AA184" s="1"/>
    </row>
    <row r="185" customFormat="false" ht="15.75" hidden="false" customHeight="true" outlineLevel="0" collapsed="false">
      <c r="A185" s="14" t="s">
        <v>830</v>
      </c>
      <c r="B185" s="13" t="n">
        <v>3</v>
      </c>
      <c r="C185" s="98" t="s">
        <v>129</v>
      </c>
      <c r="D185" s="101" t="str">
        <f aca="false">IFERROR(INDEX(値リスト!$G$25:$G$29,MATCH(C185,値リスト!$H$25:$H$29,0)),"")</f>
        <v>itemId</v>
      </c>
      <c r="E185" s="13" t="s">
        <v>592</v>
      </c>
      <c r="F185" s="98"/>
      <c r="G185" s="101"/>
      <c r="H185" s="13"/>
      <c r="I185" s="12" t="s">
        <v>37</v>
      </c>
      <c r="J185" s="1" t="str">
        <f aca="false">IFERROR(INDEX(値リスト!$G$3:$G$11,MATCH(I185,値リスト!$H$3:$H$11,0)),"")</f>
        <v>raw</v>
      </c>
      <c r="K185" s="1" t="n">
        <v>1</v>
      </c>
      <c r="L185" s="12" t="s">
        <v>1192</v>
      </c>
      <c r="N185" s="97" t="s">
        <v>975</v>
      </c>
      <c r="O185" s="1"/>
      <c r="P185" s="1"/>
      <c r="Q185" s="1"/>
      <c r="R185" s="1"/>
      <c r="S185" s="1"/>
      <c r="T185" s="1"/>
      <c r="U185" s="1"/>
      <c r="V185" s="1"/>
      <c r="W185" s="1"/>
      <c r="X185" s="1"/>
      <c r="Y185" s="1"/>
      <c r="Z185" s="1"/>
      <c r="AA185" s="1"/>
    </row>
    <row r="186" customFormat="false" ht="15.75" hidden="false" customHeight="true" outlineLevel="0" collapsed="false">
      <c r="C186" s="105"/>
      <c r="D186" s="106"/>
      <c r="F186" s="105"/>
      <c r="G186" s="106"/>
      <c r="O186" s="1"/>
      <c r="P186" s="1"/>
      <c r="Q186" s="1"/>
      <c r="R186" s="1"/>
      <c r="S186" s="1"/>
      <c r="T186" s="1"/>
      <c r="U186" s="1"/>
      <c r="V186" s="1"/>
      <c r="W186" s="1"/>
      <c r="X186" s="1"/>
      <c r="Y186" s="1"/>
      <c r="Z186" s="1"/>
      <c r="AA186" s="1"/>
    </row>
    <row r="187" customFormat="false" ht="15.75" hidden="false" customHeight="true" outlineLevel="0" collapsed="false">
      <c r="A187" s="14" t="s">
        <v>833</v>
      </c>
      <c r="B187" s="13" t="n">
        <v>1</v>
      </c>
      <c r="C187" s="98" t="s">
        <v>129</v>
      </c>
      <c r="D187" s="101" t="str">
        <f aca="false">IFERROR(INDEX(値リスト!$G$25:$G$29,MATCH(C187,値リスト!$H$25:$H$29,0)),"")</f>
        <v>itemId</v>
      </c>
      <c r="E187" s="13" t="s">
        <v>634</v>
      </c>
      <c r="F187" s="98"/>
      <c r="G187" s="101"/>
      <c r="H187" s="13"/>
      <c r="I187" s="12" t="s">
        <v>53</v>
      </c>
      <c r="J187" s="1" t="str">
        <f aca="false">IFERROR(INDEX(値リスト!$G$3:$G$11,MATCH(I187,値リスト!$H$3:$H$11,0)),"")</f>
        <v>burn</v>
      </c>
      <c r="K187" s="1" t="n">
        <v>1</v>
      </c>
      <c r="L187" s="12" t="s">
        <v>1178</v>
      </c>
      <c r="N187" s="97" t="s">
        <v>125</v>
      </c>
      <c r="O187" s="1"/>
      <c r="P187" s="1"/>
      <c r="Q187" s="1"/>
      <c r="R187" s="1"/>
      <c r="S187" s="1"/>
      <c r="T187" s="1"/>
      <c r="U187" s="1"/>
      <c r="V187" s="1"/>
      <c r="W187" s="1"/>
      <c r="X187" s="1"/>
      <c r="Y187" s="1"/>
      <c r="Z187" s="1"/>
      <c r="AA187" s="1"/>
    </row>
    <row r="188" customFormat="false" ht="15.75" hidden="false" customHeight="true" outlineLevel="0" collapsed="false">
      <c r="A188" s="14" t="s">
        <v>833</v>
      </c>
      <c r="B188" s="13" t="n">
        <v>2</v>
      </c>
      <c r="C188" s="98" t="s">
        <v>140</v>
      </c>
      <c r="D188" s="101" t="str">
        <f aca="false">IFERROR(INDEX(値リスト!$G$25:$G$29,MATCH(C188,値リスト!$H$25:$H$29,0)),"")</f>
        <v>reactionId</v>
      </c>
      <c r="E188" s="13" t="s">
        <v>146</v>
      </c>
      <c r="F188" s="98"/>
      <c r="G188" s="101"/>
      <c r="H188" s="13"/>
      <c r="I188" s="12" t="s">
        <v>37</v>
      </c>
      <c r="J188" s="1" t="str">
        <f aca="false">IFERROR(INDEX(値リスト!$G$3:$G$11,MATCH(I188,値リスト!$H$3:$H$11,0)),"")</f>
        <v>raw</v>
      </c>
      <c r="K188" s="1" t="n">
        <v>1</v>
      </c>
      <c r="L188" s="12" t="s">
        <v>1193</v>
      </c>
      <c r="N188" s="97" t="s">
        <v>125</v>
      </c>
      <c r="O188" s="1"/>
      <c r="P188" s="1"/>
      <c r="Q188" s="1"/>
      <c r="R188" s="1"/>
      <c r="S188" s="1"/>
      <c r="T188" s="1"/>
      <c r="U188" s="1"/>
      <c r="V188" s="1"/>
      <c r="W188" s="1"/>
      <c r="X188" s="1"/>
      <c r="Y188" s="1"/>
      <c r="Z188" s="1"/>
      <c r="AA188" s="1"/>
    </row>
    <row r="189" customFormat="false" ht="15.75" hidden="false" customHeight="true" outlineLevel="0" collapsed="false">
      <c r="A189" s="14" t="s">
        <v>833</v>
      </c>
      <c r="B189" s="13" t="n">
        <v>3</v>
      </c>
      <c r="C189" s="98" t="s">
        <v>129</v>
      </c>
      <c r="D189" s="101" t="str">
        <f aca="false">IFERROR(INDEX(値リスト!$G$25:$G$29,MATCH(C189,値リスト!$H$25:$H$29,0)),"")</f>
        <v>itemId</v>
      </c>
      <c r="E189" s="13" t="s">
        <v>613</v>
      </c>
      <c r="F189" s="98"/>
      <c r="G189" s="101"/>
      <c r="H189" s="13"/>
      <c r="I189" s="12" t="s">
        <v>37</v>
      </c>
      <c r="J189" s="1" t="str">
        <f aca="false">IFERROR(INDEX(値リスト!$G$3:$G$11,MATCH(I189,値リスト!$H$3:$H$11,0)),"")</f>
        <v>raw</v>
      </c>
      <c r="K189" s="1" t="n">
        <v>1</v>
      </c>
      <c r="L189" s="12" t="s">
        <v>1117</v>
      </c>
      <c r="N189" s="97" t="s">
        <v>125</v>
      </c>
      <c r="O189" s="1"/>
      <c r="P189" s="1"/>
      <c r="Q189" s="1"/>
      <c r="R189" s="1"/>
      <c r="S189" s="1"/>
      <c r="T189" s="1"/>
      <c r="U189" s="1"/>
      <c r="V189" s="1"/>
      <c r="W189" s="1"/>
      <c r="X189" s="1"/>
      <c r="Y189" s="1"/>
      <c r="Z189" s="1"/>
      <c r="AA189" s="1"/>
    </row>
    <row r="190" customFormat="false" ht="15.75" hidden="false" customHeight="true" outlineLevel="0" collapsed="false">
      <c r="C190" s="105"/>
      <c r="D190" s="106"/>
      <c r="F190" s="105"/>
      <c r="G190" s="106"/>
      <c r="O190" s="1"/>
      <c r="P190" s="1"/>
      <c r="Q190" s="1"/>
      <c r="R190" s="1"/>
      <c r="S190" s="1"/>
      <c r="T190" s="1"/>
      <c r="U190" s="1"/>
      <c r="V190" s="1"/>
      <c r="W190" s="1"/>
      <c r="X190" s="1"/>
      <c r="Y190" s="1"/>
      <c r="Z190" s="1"/>
      <c r="AA190" s="1"/>
    </row>
    <row r="191" customFormat="false" ht="15.75" hidden="false" customHeight="true" outlineLevel="0" collapsed="false">
      <c r="A191" s="14" t="s">
        <v>836</v>
      </c>
      <c r="B191" s="13" t="n">
        <v>1</v>
      </c>
      <c r="C191" s="98" t="s">
        <v>136</v>
      </c>
      <c r="D191" s="101" t="str">
        <f aca="false">IFERROR(INDEX(値リスト!$G$25:$G$29,MATCH(C191,値リスト!$H$25:$H$29,0)),"")</f>
        <v>effectId</v>
      </c>
      <c r="E191" s="13" t="s">
        <v>115</v>
      </c>
      <c r="F191" s="98"/>
      <c r="G191" s="101"/>
      <c r="H191" s="13"/>
      <c r="I191" s="12" t="s">
        <v>65</v>
      </c>
      <c r="J191" s="1" t="str">
        <f aca="false">IFERROR(INDEX(値リスト!$G$3:$G$11,MATCH(I191,値リスト!$H$3:$H$11,0)),"")</f>
        <v>dissolve</v>
      </c>
      <c r="K191" s="1" t="n">
        <v>1</v>
      </c>
      <c r="L191" s="12" t="s">
        <v>1194</v>
      </c>
      <c r="N191" s="97" t="s">
        <v>125</v>
      </c>
      <c r="O191" s="1"/>
      <c r="P191" s="1"/>
      <c r="Q191" s="1"/>
      <c r="R191" s="1"/>
      <c r="S191" s="1"/>
      <c r="T191" s="1"/>
      <c r="U191" s="1"/>
      <c r="V191" s="1"/>
      <c r="W191" s="1"/>
      <c r="X191" s="1"/>
      <c r="Y191" s="1"/>
      <c r="Z191" s="1"/>
      <c r="AA191" s="1"/>
    </row>
    <row r="192" customFormat="false" ht="15.75" hidden="false" customHeight="true" outlineLevel="0" collapsed="false">
      <c r="A192" s="14" t="s">
        <v>836</v>
      </c>
      <c r="B192" s="13" t="n">
        <v>2</v>
      </c>
      <c r="C192" s="98" t="s">
        <v>129</v>
      </c>
      <c r="D192" s="101" t="str">
        <f aca="false">IFERROR(INDEX(値リスト!$G$25:$G$29,MATCH(C192,値リスト!$H$25:$H$29,0)),"")</f>
        <v>itemId</v>
      </c>
      <c r="E192" s="13" t="s">
        <v>650</v>
      </c>
      <c r="F192" s="98"/>
      <c r="G192" s="101"/>
      <c r="H192" s="13"/>
      <c r="I192" s="12" t="s">
        <v>37</v>
      </c>
      <c r="J192" s="1" t="str">
        <f aca="false">IFERROR(INDEX(値リスト!$G$3:$G$11,MATCH(I192,値リスト!$H$3:$H$11,0)),"")</f>
        <v>raw</v>
      </c>
      <c r="K192" s="1" t="n">
        <v>1</v>
      </c>
      <c r="L192" s="12" t="s">
        <v>1180</v>
      </c>
      <c r="N192" s="97" t="s">
        <v>125</v>
      </c>
      <c r="O192" s="1"/>
      <c r="P192" s="1"/>
      <c r="Q192" s="1"/>
      <c r="R192" s="1"/>
      <c r="S192" s="1"/>
      <c r="T192" s="1"/>
      <c r="U192" s="1"/>
      <c r="V192" s="1"/>
      <c r="W192" s="1"/>
      <c r="X192" s="1"/>
      <c r="Y192" s="1"/>
      <c r="Z192" s="1"/>
      <c r="AA192" s="1"/>
    </row>
    <row r="193" customFormat="false" ht="15.75" hidden="false" customHeight="true" outlineLevel="0" collapsed="false">
      <c r="A193" s="14" t="s">
        <v>836</v>
      </c>
      <c r="B193" s="13" t="n">
        <v>3</v>
      </c>
      <c r="C193" s="98" t="s">
        <v>129</v>
      </c>
      <c r="D193" s="101" t="str">
        <f aca="false">IFERROR(INDEX(値リスト!$G$25:$G$29,MATCH(C193,値リスト!$H$25:$H$29,0)),"")</f>
        <v>itemId</v>
      </c>
      <c r="E193" s="13" t="s">
        <v>678</v>
      </c>
      <c r="F193" s="98"/>
      <c r="G193" s="101"/>
      <c r="H193" s="13"/>
      <c r="I193" s="12" t="s">
        <v>37</v>
      </c>
      <c r="J193" s="1" t="str">
        <f aca="false">IFERROR(INDEX(値リスト!$G$3:$G$11,MATCH(I193,値リスト!$H$3:$H$11,0)),"")</f>
        <v>raw</v>
      </c>
      <c r="K193" s="1" t="n">
        <v>1</v>
      </c>
      <c r="L193" s="12" t="s">
        <v>1195</v>
      </c>
      <c r="N193" s="97" t="s">
        <v>125</v>
      </c>
      <c r="O193" s="1"/>
      <c r="P193" s="1"/>
      <c r="Q193" s="1"/>
      <c r="R193" s="1"/>
      <c r="S193" s="1"/>
      <c r="T193" s="1"/>
      <c r="U193" s="1"/>
      <c r="V193" s="1"/>
      <c r="W193" s="1"/>
      <c r="X193" s="1"/>
      <c r="Y193" s="1"/>
      <c r="Z193" s="1"/>
      <c r="AA193" s="1"/>
    </row>
    <row r="194" customFormat="false" ht="15.75" hidden="false" customHeight="true" outlineLevel="0" collapsed="false">
      <c r="C194" s="105"/>
      <c r="D194" s="106"/>
      <c r="F194" s="105"/>
      <c r="G194" s="106"/>
      <c r="O194" s="1"/>
      <c r="P194" s="1"/>
      <c r="Q194" s="1"/>
      <c r="R194" s="1"/>
      <c r="S194" s="1"/>
      <c r="T194" s="1"/>
      <c r="U194" s="1"/>
      <c r="V194" s="1"/>
      <c r="W194" s="1"/>
      <c r="X194" s="1"/>
      <c r="Y194" s="1"/>
      <c r="Z194" s="1"/>
      <c r="AA194" s="1"/>
    </row>
    <row r="195" customFormat="false" ht="15.75" hidden="false" customHeight="true" outlineLevel="0" collapsed="false">
      <c r="A195" s="14" t="s">
        <v>839</v>
      </c>
      <c r="B195" s="13" t="n">
        <v>1</v>
      </c>
      <c r="C195" s="98" t="s">
        <v>136</v>
      </c>
      <c r="D195" s="101" t="str">
        <f aca="false">IFERROR(INDEX(値リスト!$G$25:$G$29,MATCH(C195,値リスト!$H$25:$H$29,0)),"")</f>
        <v>effectId</v>
      </c>
      <c r="E195" s="13" t="s">
        <v>119</v>
      </c>
      <c r="F195" s="98"/>
      <c r="G195" s="101"/>
      <c r="H195" s="13"/>
      <c r="I195" s="12" t="s">
        <v>13</v>
      </c>
      <c r="J195" s="1" t="str">
        <f aca="false">IFERROR(INDEX(値リスト!$G$3:$G$11,MATCH(I195,値リスト!$H$3:$H$11,0)),"")</f>
        <v>grind</v>
      </c>
      <c r="K195" s="1" t="n">
        <v>1</v>
      </c>
      <c r="L195" s="12" t="s">
        <v>1196</v>
      </c>
      <c r="N195" s="97" t="s">
        <v>975</v>
      </c>
      <c r="O195" s="1"/>
      <c r="P195" s="1"/>
      <c r="Q195" s="1"/>
      <c r="R195" s="1"/>
      <c r="S195" s="1"/>
      <c r="T195" s="1"/>
      <c r="U195" s="1"/>
      <c r="V195" s="1"/>
      <c r="W195" s="1"/>
      <c r="X195" s="1"/>
      <c r="Y195" s="1"/>
      <c r="Z195" s="1"/>
      <c r="AA195" s="1"/>
    </row>
    <row r="196" customFormat="false" ht="15.75" hidden="false" customHeight="true" outlineLevel="0" collapsed="false">
      <c r="A196" s="14" t="s">
        <v>839</v>
      </c>
      <c r="B196" s="13" t="n">
        <v>2</v>
      </c>
      <c r="C196" s="98" t="s">
        <v>136</v>
      </c>
      <c r="D196" s="101" t="str">
        <f aca="false">IFERROR(INDEX(値リスト!$G$25:$G$29,MATCH(C196,値リスト!$H$25:$H$29,0)),"")</f>
        <v>effectId</v>
      </c>
      <c r="E196" s="13" t="s">
        <v>76</v>
      </c>
      <c r="F196" s="98"/>
      <c r="G196" s="101"/>
      <c r="H196" s="13"/>
      <c r="I196" s="12" t="s">
        <v>21</v>
      </c>
      <c r="J196" s="1" t="str">
        <f aca="false">IFERROR(INDEX(値リスト!$G$3:$G$11,MATCH(I196,値リスト!$H$3:$H$11,0)),"")</f>
        <v>boil</v>
      </c>
      <c r="K196" s="1" t="n">
        <v>1</v>
      </c>
      <c r="L196" s="12" t="s">
        <v>1197</v>
      </c>
      <c r="N196" s="97" t="s">
        <v>975</v>
      </c>
      <c r="O196" s="1"/>
      <c r="P196" s="1"/>
      <c r="Q196" s="1"/>
      <c r="R196" s="1"/>
      <c r="S196" s="1"/>
      <c r="T196" s="1"/>
      <c r="U196" s="1"/>
      <c r="V196" s="1"/>
      <c r="W196" s="1"/>
      <c r="X196" s="1"/>
      <c r="Y196" s="1"/>
      <c r="Z196" s="1"/>
      <c r="AA196" s="1"/>
    </row>
    <row r="197" customFormat="false" ht="15.75" hidden="false" customHeight="true" outlineLevel="0" collapsed="false">
      <c r="A197" s="14" t="s">
        <v>839</v>
      </c>
      <c r="B197" s="13" t="n">
        <v>3</v>
      </c>
      <c r="C197" s="98" t="s">
        <v>129</v>
      </c>
      <c r="D197" s="101" t="str">
        <f aca="false">IFERROR(INDEX(値リスト!$G$25:$G$29,MATCH(C197,値リスト!$H$25:$H$29,0)),"")</f>
        <v>itemId</v>
      </c>
      <c r="E197" s="13" t="s">
        <v>646</v>
      </c>
      <c r="F197" s="98"/>
      <c r="G197" s="101"/>
      <c r="H197" s="13"/>
      <c r="I197" s="12" t="s">
        <v>37</v>
      </c>
      <c r="J197" s="1" t="str">
        <f aca="false">IFERROR(INDEX(値リスト!$G$3:$G$11,MATCH(I197,値リスト!$H$3:$H$11,0)),"")</f>
        <v>raw</v>
      </c>
      <c r="K197" s="1" t="n">
        <v>1</v>
      </c>
      <c r="L197" s="12" t="s">
        <v>1198</v>
      </c>
      <c r="N197" s="97" t="s">
        <v>975</v>
      </c>
      <c r="O197" s="1"/>
      <c r="P197" s="1"/>
      <c r="Q197" s="1"/>
      <c r="R197" s="1"/>
      <c r="S197" s="1"/>
      <c r="T197" s="1"/>
      <c r="U197" s="1"/>
      <c r="V197" s="1"/>
      <c r="W197" s="1"/>
      <c r="X197" s="1"/>
      <c r="Y197" s="1"/>
      <c r="Z197" s="1"/>
      <c r="AA197" s="1"/>
    </row>
    <row r="198" customFormat="false" ht="15.75" hidden="false" customHeight="true" outlineLevel="0" collapsed="false">
      <c r="C198" s="105"/>
      <c r="D198" s="106"/>
      <c r="F198" s="105"/>
      <c r="G198" s="106"/>
      <c r="O198" s="1"/>
      <c r="P198" s="1"/>
      <c r="Q198" s="1"/>
      <c r="R198" s="1"/>
      <c r="S198" s="1"/>
      <c r="T198" s="1"/>
      <c r="U198" s="1"/>
      <c r="V198" s="1"/>
      <c r="W198" s="1"/>
      <c r="X198" s="1"/>
      <c r="Y198" s="1"/>
      <c r="Z198" s="1"/>
      <c r="AA198" s="1"/>
    </row>
    <row r="199" customFormat="false" ht="15.75" hidden="false" customHeight="true" outlineLevel="0" collapsed="false">
      <c r="A199" s="14" t="s">
        <v>842</v>
      </c>
      <c r="B199" s="13" t="n">
        <v>1</v>
      </c>
      <c r="C199" s="98" t="s">
        <v>129</v>
      </c>
      <c r="D199" s="101" t="str">
        <f aca="false">IFERROR(INDEX(値リスト!$G$25:$G$29,MATCH(C199,値リスト!$H$25:$H$29,0)),"")</f>
        <v>itemId</v>
      </c>
      <c r="E199" s="13" t="s">
        <v>646</v>
      </c>
      <c r="F199" s="98"/>
      <c r="G199" s="101"/>
      <c r="H199" s="13"/>
      <c r="I199" s="12" t="s">
        <v>21</v>
      </c>
      <c r="J199" s="1" t="str">
        <f aca="false">IFERROR(INDEX(値リスト!$G$3:$G$11,MATCH(I199,値リスト!$H$3:$H$11,0)),"")</f>
        <v>boil</v>
      </c>
      <c r="K199" s="1" t="n">
        <v>1</v>
      </c>
      <c r="L199" s="12" t="s">
        <v>1199</v>
      </c>
      <c r="N199" s="97" t="s">
        <v>125</v>
      </c>
      <c r="O199" s="1"/>
      <c r="P199" s="1"/>
      <c r="Q199" s="1"/>
      <c r="R199" s="1"/>
      <c r="S199" s="1"/>
      <c r="T199" s="1"/>
      <c r="U199" s="1"/>
      <c r="V199" s="1"/>
      <c r="W199" s="1"/>
      <c r="X199" s="1"/>
      <c r="Y199" s="1"/>
      <c r="Z199" s="1"/>
      <c r="AA199" s="1"/>
    </row>
    <row r="200" customFormat="false" ht="15.75" hidden="false" customHeight="true" outlineLevel="0" collapsed="false">
      <c r="A200" s="14" t="s">
        <v>842</v>
      </c>
      <c r="B200" s="13" t="n">
        <v>2</v>
      </c>
      <c r="C200" s="98" t="s">
        <v>129</v>
      </c>
      <c r="D200" s="101" t="str">
        <f aca="false">IFERROR(INDEX(値リスト!$G$25:$G$29,MATCH(C200,値リスト!$H$25:$H$29,0)),"")</f>
        <v>itemId</v>
      </c>
      <c r="E200" s="13" t="s">
        <v>650</v>
      </c>
      <c r="F200" s="98"/>
      <c r="G200" s="101"/>
      <c r="H200" s="13"/>
      <c r="I200" s="12" t="s">
        <v>65</v>
      </c>
      <c r="J200" s="1" t="str">
        <f aca="false">IFERROR(INDEX(値リスト!$G$3:$G$11,MATCH(I200,値リスト!$H$3:$H$11,0)),"")</f>
        <v>dissolve</v>
      </c>
      <c r="K200" s="1" t="n">
        <v>1</v>
      </c>
      <c r="L200" s="12" t="s">
        <v>1200</v>
      </c>
      <c r="N200" s="97" t="s">
        <v>125</v>
      </c>
      <c r="O200" s="1"/>
      <c r="P200" s="1"/>
      <c r="Q200" s="1"/>
      <c r="R200" s="1"/>
      <c r="S200" s="1"/>
      <c r="T200" s="1"/>
      <c r="U200" s="1"/>
      <c r="V200" s="1"/>
      <c r="W200" s="1"/>
      <c r="X200" s="1"/>
      <c r="Y200" s="1"/>
      <c r="Z200" s="1"/>
      <c r="AA200" s="1"/>
    </row>
    <row r="201" customFormat="false" ht="15.75" hidden="false" customHeight="true" outlineLevel="0" collapsed="false">
      <c r="A201" s="14" t="s">
        <v>842</v>
      </c>
      <c r="B201" s="13" t="n">
        <v>3</v>
      </c>
      <c r="C201" s="98" t="s">
        <v>129</v>
      </c>
      <c r="D201" s="101" t="str">
        <f aca="false">IFERROR(INDEX(値リスト!$G$25:$G$29,MATCH(C201,値リスト!$H$25:$H$29,0)),"")</f>
        <v>itemId</v>
      </c>
      <c r="E201" s="13" t="s">
        <v>630</v>
      </c>
      <c r="F201" s="98"/>
      <c r="G201" s="101"/>
      <c r="H201" s="13"/>
      <c r="I201" s="12" t="s">
        <v>37</v>
      </c>
      <c r="J201" s="1" t="str">
        <f aca="false">IFERROR(INDEX(値リスト!$G$3:$G$11,MATCH(I201,値リスト!$H$3:$H$11,0)),"")</f>
        <v>raw</v>
      </c>
      <c r="K201" s="1" t="n">
        <v>1</v>
      </c>
      <c r="L201" s="12" t="s">
        <v>1201</v>
      </c>
      <c r="N201" s="97" t="s">
        <v>125</v>
      </c>
      <c r="O201" s="1"/>
      <c r="P201" s="1"/>
      <c r="Q201" s="1"/>
      <c r="R201" s="1"/>
      <c r="S201" s="1"/>
      <c r="T201" s="1"/>
      <c r="U201" s="1"/>
      <c r="V201" s="1"/>
      <c r="W201" s="1"/>
      <c r="X201" s="1"/>
      <c r="Y201" s="1"/>
      <c r="Z201" s="1"/>
      <c r="AA201" s="1"/>
    </row>
    <row r="202" customFormat="false" ht="15.75" hidden="false" customHeight="true" outlineLevel="0" collapsed="false">
      <c r="O202" s="1"/>
      <c r="P202" s="1"/>
      <c r="Q202" s="1"/>
      <c r="R202" s="1"/>
      <c r="S202" s="1"/>
      <c r="T202" s="1"/>
      <c r="U202" s="1"/>
      <c r="V202" s="1"/>
      <c r="W202" s="1"/>
      <c r="X202" s="1"/>
      <c r="Y202" s="1"/>
      <c r="Z202" s="1"/>
      <c r="AA202" s="1"/>
    </row>
    <row r="203" customFormat="false" ht="15.75" hidden="false" customHeight="true" outlineLevel="0" collapsed="false">
      <c r="A203" s="14" t="s">
        <v>845</v>
      </c>
      <c r="B203" s="13" t="n">
        <v>1</v>
      </c>
      <c r="C203" s="98" t="s">
        <v>129</v>
      </c>
      <c r="D203" s="101" t="str">
        <f aca="false">IFERROR(INDEX(値リスト!$G$25:$G$29,MATCH(C203,値リスト!$H$25:$H$29,0)),"")</f>
        <v>itemId</v>
      </c>
      <c r="E203" s="13" t="s">
        <v>582</v>
      </c>
      <c r="F203" s="98"/>
      <c r="G203" s="101"/>
      <c r="H203" s="13"/>
      <c r="I203" s="12" t="s">
        <v>37</v>
      </c>
      <c r="J203" s="1" t="str">
        <f aca="false">IFERROR(INDEX(値リスト!$G$3:$G$11,MATCH(I203,値リスト!$H$3:$H$11,0)),"")</f>
        <v>raw</v>
      </c>
      <c r="K203" s="1" t="n">
        <v>1</v>
      </c>
      <c r="L203" s="12" t="s">
        <v>1202</v>
      </c>
      <c r="N203" s="97" t="s">
        <v>975</v>
      </c>
      <c r="O203" s="1"/>
      <c r="P203" s="1"/>
      <c r="Q203" s="1"/>
      <c r="R203" s="1"/>
      <c r="S203" s="1"/>
      <c r="T203" s="1"/>
      <c r="U203" s="1"/>
      <c r="V203" s="1"/>
      <c r="W203" s="1"/>
      <c r="X203" s="1"/>
      <c r="Y203" s="1"/>
      <c r="Z203" s="1"/>
      <c r="AA203" s="1"/>
    </row>
    <row r="204" customFormat="false" ht="15.75" hidden="false" customHeight="true" outlineLevel="0" collapsed="false">
      <c r="A204" s="14" t="s">
        <v>845</v>
      </c>
      <c r="B204" s="13" t="n">
        <v>2</v>
      </c>
      <c r="C204" s="98" t="s">
        <v>136</v>
      </c>
      <c r="D204" s="101" t="str">
        <f aca="false">IFERROR(INDEX(値リスト!$G$25:$G$29,MATCH(C204,値リスト!$H$25:$H$29,0)),"")</f>
        <v>effectId</v>
      </c>
      <c r="E204" s="13" t="s">
        <v>71</v>
      </c>
      <c r="F204" s="98"/>
      <c r="G204" s="101"/>
      <c r="H204" s="13"/>
      <c r="I204" s="12" t="s">
        <v>68</v>
      </c>
      <c r="J204" s="1" t="str">
        <f aca="false">IFERROR(INDEX(値リスト!$G$3:$G$11,MATCH(I204,値リスト!$H$3:$H$11,0)),"")</f>
        <v>distill</v>
      </c>
      <c r="K204" s="1" t="n">
        <v>1</v>
      </c>
      <c r="L204" s="12" t="s">
        <v>1203</v>
      </c>
      <c r="N204" s="97" t="s">
        <v>975</v>
      </c>
      <c r="O204" s="1"/>
      <c r="P204" s="1"/>
      <c r="Q204" s="1"/>
      <c r="R204" s="1"/>
      <c r="S204" s="1"/>
      <c r="T204" s="1"/>
      <c r="U204" s="1"/>
      <c r="V204" s="1"/>
      <c r="W204" s="1"/>
      <c r="X204" s="1"/>
      <c r="Y204" s="1"/>
      <c r="Z204" s="1"/>
      <c r="AA204" s="1"/>
    </row>
    <row r="205" customFormat="false" ht="15.75" hidden="false" customHeight="true" outlineLevel="0" collapsed="false">
      <c r="A205" s="14" t="s">
        <v>845</v>
      </c>
      <c r="B205" s="13" t="n">
        <v>3</v>
      </c>
      <c r="C205" s="98" t="s">
        <v>129</v>
      </c>
      <c r="D205" s="101" t="str">
        <f aca="false">IFERROR(INDEX(値リスト!$G$25:$G$29,MATCH(C205,値リスト!$H$25:$H$29,0)),"")</f>
        <v>itemId</v>
      </c>
      <c r="E205" s="13" t="s">
        <v>630</v>
      </c>
      <c r="F205" s="98"/>
      <c r="G205" s="101"/>
      <c r="H205" s="13"/>
      <c r="I205" s="12" t="s">
        <v>37</v>
      </c>
      <c r="J205" s="1" t="str">
        <f aca="false">IFERROR(INDEX(値リスト!$G$3:$G$11,MATCH(I205,値リスト!$H$3:$H$11,0)),"")</f>
        <v>raw</v>
      </c>
      <c r="K205" s="1" t="n">
        <v>1</v>
      </c>
      <c r="L205" s="12" t="s">
        <v>1204</v>
      </c>
      <c r="N205" s="97" t="s">
        <v>975</v>
      </c>
      <c r="O205" s="1"/>
      <c r="P205" s="1"/>
      <c r="Q205" s="1"/>
      <c r="R205" s="1"/>
      <c r="S205" s="1"/>
      <c r="T205" s="1"/>
      <c r="U205" s="1"/>
      <c r="V205" s="1"/>
      <c r="W205" s="1"/>
      <c r="X205" s="1"/>
      <c r="Y205" s="1"/>
      <c r="Z205" s="1"/>
      <c r="AA205" s="1"/>
    </row>
    <row r="206" customFormat="false" ht="15.75" hidden="false" customHeight="true" outlineLevel="0" collapsed="false">
      <c r="O206" s="1"/>
      <c r="P206" s="1"/>
      <c r="Q206" s="1"/>
      <c r="R206" s="1"/>
      <c r="S206" s="1"/>
      <c r="T206" s="1"/>
      <c r="U206" s="1"/>
      <c r="V206" s="1"/>
      <c r="W206" s="1"/>
      <c r="X206" s="1"/>
      <c r="Y206" s="1"/>
      <c r="Z206" s="1"/>
      <c r="AA206" s="1"/>
    </row>
    <row r="207" customFormat="false" ht="15.75" hidden="false" customHeight="true" outlineLevel="0" collapsed="false">
      <c r="A207" s="14" t="s">
        <v>848</v>
      </c>
      <c r="B207" s="13" t="n">
        <v>1</v>
      </c>
      <c r="C207" s="98" t="s">
        <v>140</v>
      </c>
      <c r="D207" s="101" t="str">
        <f aca="false">IFERROR(INDEX(値リスト!$G$25:$G$29,MATCH(C207,値リスト!$H$25:$H$29,0)),"")</f>
        <v>reactionId</v>
      </c>
      <c r="E207" s="13" t="s">
        <v>146</v>
      </c>
      <c r="F207" s="98"/>
      <c r="G207" s="101"/>
      <c r="H207" s="13"/>
      <c r="I207" s="12" t="s">
        <v>68</v>
      </c>
      <c r="J207" s="1" t="str">
        <f aca="false">IFERROR(INDEX(値リスト!$G$3:$G$11,MATCH(I207,値リスト!$H$3:$H$11,0)),"")</f>
        <v>distill</v>
      </c>
      <c r="K207" s="1" t="n">
        <v>1</v>
      </c>
      <c r="L207" s="12" t="s">
        <v>1205</v>
      </c>
      <c r="N207" s="97" t="s">
        <v>975</v>
      </c>
      <c r="O207" s="1"/>
      <c r="P207" s="1"/>
      <c r="Q207" s="1"/>
      <c r="R207" s="1"/>
      <c r="S207" s="1"/>
      <c r="T207" s="1"/>
      <c r="U207" s="1"/>
      <c r="V207" s="1"/>
      <c r="W207" s="1"/>
      <c r="X207" s="1"/>
      <c r="Y207" s="1"/>
      <c r="Z207" s="1"/>
      <c r="AA207" s="1"/>
    </row>
    <row r="208" customFormat="false" ht="15.75" hidden="false" customHeight="true" outlineLevel="0" collapsed="false">
      <c r="A208" s="14" t="s">
        <v>848</v>
      </c>
      <c r="B208" s="13" t="n">
        <v>2</v>
      </c>
      <c r="C208" s="98" t="s">
        <v>129</v>
      </c>
      <c r="D208" s="101" t="str">
        <f aca="false">IFERROR(INDEX(値リスト!$G$25:$G$29,MATCH(C208,値リスト!$H$25:$H$29,0)),"")</f>
        <v>itemId</v>
      </c>
      <c r="E208" s="13" t="s">
        <v>690</v>
      </c>
      <c r="F208" s="98"/>
      <c r="G208" s="101"/>
      <c r="H208" s="13"/>
      <c r="I208" s="12" t="s">
        <v>37</v>
      </c>
      <c r="J208" s="1" t="str">
        <f aca="false">IFERROR(INDEX(値リスト!$G$3:$G$11,MATCH(I208,値リスト!$H$3:$H$11,0)),"")</f>
        <v>raw</v>
      </c>
      <c r="K208" s="1" t="n">
        <v>1</v>
      </c>
      <c r="L208" s="12" t="s">
        <v>1206</v>
      </c>
      <c r="N208" s="97" t="s">
        <v>975</v>
      </c>
      <c r="O208" s="1"/>
      <c r="P208" s="1"/>
      <c r="Q208" s="1"/>
      <c r="R208" s="1"/>
      <c r="S208" s="1"/>
      <c r="T208" s="1"/>
      <c r="U208" s="1"/>
      <c r="V208" s="1"/>
      <c r="W208" s="1"/>
      <c r="X208" s="1"/>
      <c r="Y208" s="1"/>
      <c r="Z208" s="1"/>
      <c r="AA208" s="1"/>
    </row>
    <row r="209" customFormat="false" ht="15.75" hidden="false" customHeight="true" outlineLevel="0" collapsed="false">
      <c r="A209" s="14" t="s">
        <v>848</v>
      </c>
      <c r="B209" s="13" t="n">
        <v>3</v>
      </c>
      <c r="C209" s="98" t="s">
        <v>129</v>
      </c>
      <c r="D209" s="101" t="str">
        <f aca="false">IFERROR(INDEX(値リスト!$G$25:$G$29,MATCH(C209,値リスト!$H$25:$H$29,0)),"")</f>
        <v>itemId</v>
      </c>
      <c r="E209" s="13" t="s">
        <v>674</v>
      </c>
      <c r="F209" s="98"/>
      <c r="G209" s="101"/>
      <c r="H209" s="13"/>
      <c r="I209" s="12" t="s">
        <v>37</v>
      </c>
      <c r="J209" s="1" t="str">
        <f aca="false">IFERROR(INDEX(値リスト!$G$3:$G$11,MATCH(I209,値リスト!$H$3:$H$11,0)),"")</f>
        <v>raw</v>
      </c>
      <c r="K209" s="1" t="n">
        <v>1</v>
      </c>
      <c r="L209" s="12" t="s">
        <v>1207</v>
      </c>
      <c r="N209" s="97" t="s">
        <v>975</v>
      </c>
      <c r="O209" s="1"/>
      <c r="P209" s="1"/>
      <c r="Q209" s="1"/>
      <c r="R209" s="1"/>
      <c r="S209" s="1"/>
      <c r="T209" s="1"/>
      <c r="U209" s="1"/>
      <c r="V209" s="1"/>
      <c r="W209" s="1"/>
      <c r="X209" s="1"/>
      <c r="Y209" s="1"/>
      <c r="Z209" s="1"/>
      <c r="AA209" s="1"/>
    </row>
    <row r="210" customFormat="false" ht="15.75" hidden="false" customHeight="true" outlineLevel="0" collapsed="false">
      <c r="O210" s="1"/>
      <c r="P210" s="1"/>
      <c r="Q210" s="1"/>
      <c r="R210" s="1"/>
      <c r="S210" s="1"/>
      <c r="T210" s="1"/>
      <c r="U210" s="1"/>
      <c r="V210" s="1"/>
      <c r="W210" s="1"/>
      <c r="X210" s="1"/>
      <c r="Y210" s="1"/>
      <c r="Z210" s="1"/>
      <c r="AA210" s="1"/>
    </row>
    <row r="211" customFormat="false" ht="15.75" hidden="false" customHeight="true" outlineLevel="0" collapsed="false">
      <c r="A211" s="14" t="s">
        <v>851</v>
      </c>
      <c r="B211" s="13" t="n">
        <v>1</v>
      </c>
      <c r="C211" s="98" t="s">
        <v>136</v>
      </c>
      <c r="D211" s="101" t="str">
        <f aca="false">IFERROR(INDEX(値リスト!$G$25:$G$29,MATCH(C211,値リスト!$H$25:$H$29,0)),"")</f>
        <v>effectId</v>
      </c>
      <c r="E211" s="13" t="s">
        <v>79</v>
      </c>
      <c r="F211" s="98"/>
      <c r="G211" s="101"/>
      <c r="H211" s="13"/>
      <c r="I211" s="12" t="s">
        <v>29</v>
      </c>
      <c r="J211" s="1" t="str">
        <f aca="false">IFERROR(INDEX(値リスト!$G$3:$G$11,MATCH(I211,値リスト!$H$3:$H$11,0)),"")</f>
        <v>dry</v>
      </c>
      <c r="K211" s="1" t="n">
        <v>1</v>
      </c>
      <c r="L211" s="12" t="s">
        <v>1208</v>
      </c>
      <c r="N211" s="97" t="s">
        <v>125</v>
      </c>
      <c r="O211" s="1"/>
      <c r="P211" s="1"/>
      <c r="Q211" s="1"/>
      <c r="R211" s="1"/>
      <c r="S211" s="1"/>
      <c r="T211" s="1"/>
      <c r="U211" s="1"/>
      <c r="V211" s="1"/>
      <c r="W211" s="1"/>
      <c r="X211" s="1"/>
      <c r="Y211" s="1"/>
      <c r="Z211" s="1"/>
      <c r="AA211" s="1"/>
    </row>
    <row r="212" customFormat="false" ht="15.75" hidden="false" customHeight="true" outlineLevel="0" collapsed="false">
      <c r="A212" s="14" t="s">
        <v>851</v>
      </c>
      <c r="B212" s="13" t="n">
        <v>2</v>
      </c>
      <c r="C212" s="98" t="s">
        <v>129</v>
      </c>
      <c r="D212" s="101" t="str">
        <f aca="false">IFERROR(INDEX(値リスト!$G$25:$G$29,MATCH(C212,値リスト!$H$25:$H$29,0)),"")</f>
        <v>itemId</v>
      </c>
      <c r="E212" s="13" t="s">
        <v>600</v>
      </c>
      <c r="F212" s="98"/>
      <c r="G212" s="101"/>
      <c r="H212" s="13"/>
      <c r="I212" s="12" t="s">
        <v>37</v>
      </c>
      <c r="J212" s="1" t="str">
        <f aca="false">IFERROR(INDEX(値リスト!$G$3:$G$11,MATCH(I212,値リスト!$H$3:$H$11,0)),"")</f>
        <v>raw</v>
      </c>
      <c r="K212" s="1" t="n">
        <v>1</v>
      </c>
      <c r="L212" s="12" t="s">
        <v>1209</v>
      </c>
      <c r="N212" s="97" t="s">
        <v>125</v>
      </c>
      <c r="O212" s="1"/>
      <c r="P212" s="1"/>
      <c r="Q212" s="1"/>
      <c r="R212" s="1"/>
      <c r="S212" s="1"/>
      <c r="T212" s="1"/>
      <c r="U212" s="1"/>
      <c r="V212" s="1"/>
      <c r="W212" s="1"/>
      <c r="X212" s="1"/>
      <c r="Y212" s="1"/>
      <c r="Z212" s="1"/>
      <c r="AA212" s="1"/>
    </row>
    <row r="213" customFormat="false" ht="15.75" hidden="false" customHeight="true" outlineLevel="0" collapsed="false">
      <c r="A213" s="14" t="s">
        <v>851</v>
      </c>
      <c r="B213" s="13" t="n">
        <v>3</v>
      </c>
      <c r="C213" s="98" t="s">
        <v>129</v>
      </c>
      <c r="D213" s="101" t="str">
        <f aca="false">IFERROR(INDEX(値リスト!$G$25:$G$29,MATCH(C213,値リスト!$H$25:$H$29,0)),"")</f>
        <v>itemId</v>
      </c>
      <c r="E213" s="13" t="s">
        <v>630</v>
      </c>
      <c r="F213" s="98"/>
      <c r="G213" s="101"/>
      <c r="H213" s="13"/>
      <c r="I213" s="12" t="s">
        <v>37</v>
      </c>
      <c r="J213" s="1" t="str">
        <f aca="false">IFERROR(INDEX(値リスト!$G$3:$G$11,MATCH(I213,値リスト!$H$3:$H$11,0)),"")</f>
        <v>raw</v>
      </c>
      <c r="K213" s="1" t="n">
        <v>1</v>
      </c>
      <c r="L213" s="12" t="s">
        <v>1210</v>
      </c>
      <c r="N213" s="97" t="s">
        <v>125</v>
      </c>
      <c r="O213" s="1"/>
      <c r="P213" s="1"/>
      <c r="Q213" s="1"/>
      <c r="R213" s="1"/>
      <c r="S213" s="1"/>
      <c r="T213" s="1"/>
      <c r="U213" s="1"/>
      <c r="V213" s="1"/>
      <c r="W213" s="1"/>
      <c r="X213" s="1"/>
      <c r="Y213" s="1"/>
      <c r="Z213" s="1"/>
      <c r="AA213" s="1"/>
    </row>
    <row r="214" customFormat="false" ht="15.75" hidden="false" customHeight="true" outlineLevel="0" collapsed="false">
      <c r="O214" s="1"/>
      <c r="P214" s="1"/>
      <c r="Q214" s="1"/>
      <c r="R214" s="1"/>
      <c r="S214" s="1"/>
      <c r="T214" s="1"/>
      <c r="U214" s="1"/>
      <c r="V214" s="1"/>
      <c r="W214" s="1"/>
      <c r="X214" s="1"/>
      <c r="Y214" s="1"/>
      <c r="Z214" s="1"/>
      <c r="AA214" s="1"/>
    </row>
    <row r="215" customFormat="false" ht="15.75" hidden="false" customHeight="true" outlineLevel="0" collapsed="false">
      <c r="A215" s="14" t="s">
        <v>854</v>
      </c>
      <c r="B215" s="13" t="n">
        <v>1</v>
      </c>
      <c r="C215" s="98" t="s">
        <v>136</v>
      </c>
      <c r="D215" s="101" t="str">
        <f aca="false">IFERROR(INDEX(値リスト!$G$25:$G$29,MATCH(C215,値リスト!$H$25:$H$29,0)),"")</f>
        <v>effectId</v>
      </c>
      <c r="E215" s="13" t="s">
        <v>71</v>
      </c>
      <c r="F215" s="98"/>
      <c r="G215" s="101"/>
      <c r="H215" s="13"/>
      <c r="I215" s="12" t="s">
        <v>21</v>
      </c>
      <c r="J215" s="1" t="str">
        <f aca="false">IFERROR(INDEX(値リスト!$G$3:$G$11,MATCH(I215,値リスト!$H$3:$H$11,0)),"")</f>
        <v>boil</v>
      </c>
      <c r="K215" s="1" t="n">
        <v>1</v>
      </c>
      <c r="L215" s="12" t="s">
        <v>1211</v>
      </c>
      <c r="N215" s="97" t="s">
        <v>125</v>
      </c>
      <c r="O215" s="1"/>
      <c r="P215" s="1"/>
      <c r="Q215" s="1"/>
      <c r="R215" s="1"/>
      <c r="S215" s="1"/>
      <c r="T215" s="1"/>
      <c r="U215" s="1"/>
      <c r="V215" s="1"/>
      <c r="W215" s="1"/>
      <c r="X215" s="1"/>
      <c r="Y215" s="1"/>
      <c r="Z215" s="1"/>
      <c r="AA215" s="1"/>
    </row>
    <row r="216" customFormat="false" ht="15.75" hidden="false" customHeight="true" outlineLevel="0" collapsed="false">
      <c r="A216" s="14" t="s">
        <v>854</v>
      </c>
      <c r="B216" s="13" t="n">
        <v>2</v>
      </c>
      <c r="C216" s="98" t="s">
        <v>129</v>
      </c>
      <c r="D216" s="101" t="str">
        <f aca="false">IFERROR(INDEX(値リスト!$G$25:$G$29,MATCH(C216,値リスト!$H$25:$H$29,0)),"")</f>
        <v>itemId</v>
      </c>
      <c r="E216" s="13" t="s">
        <v>654</v>
      </c>
      <c r="F216" s="98"/>
      <c r="G216" s="101"/>
      <c r="H216" s="13"/>
      <c r="I216" s="12" t="s">
        <v>37</v>
      </c>
      <c r="J216" s="1" t="str">
        <f aca="false">IFERROR(INDEX(値リスト!$G$3:$G$11,MATCH(I216,値リスト!$H$3:$H$11,0)),"")</f>
        <v>raw</v>
      </c>
      <c r="K216" s="1" t="n">
        <v>1</v>
      </c>
      <c r="L216" s="12" t="s">
        <v>1212</v>
      </c>
      <c r="N216" s="97" t="s">
        <v>125</v>
      </c>
      <c r="O216" s="1"/>
      <c r="P216" s="1"/>
      <c r="Q216" s="1"/>
      <c r="R216" s="1"/>
      <c r="S216" s="1"/>
      <c r="T216" s="1"/>
      <c r="U216" s="1"/>
      <c r="V216" s="1"/>
      <c r="W216" s="1"/>
      <c r="X216" s="1"/>
      <c r="Y216" s="1"/>
      <c r="Z216" s="1"/>
      <c r="AA216" s="1"/>
    </row>
    <row r="217" customFormat="false" ht="15.75" hidden="false" customHeight="true" outlineLevel="0" collapsed="false">
      <c r="A217" s="14" t="s">
        <v>854</v>
      </c>
      <c r="B217" s="13" t="n">
        <v>3</v>
      </c>
      <c r="C217" s="98" t="s">
        <v>129</v>
      </c>
      <c r="D217" s="101" t="str">
        <f aca="false">IFERROR(INDEX(値リスト!$G$25:$G$29,MATCH(C217,値リスト!$H$25:$H$29,0)),"")</f>
        <v>itemId</v>
      </c>
      <c r="E217" s="13" t="s">
        <v>582</v>
      </c>
      <c r="F217" s="98"/>
      <c r="G217" s="101"/>
      <c r="H217" s="13"/>
      <c r="I217" s="12" t="s">
        <v>37</v>
      </c>
      <c r="J217" s="1" t="str">
        <f aca="false">IFERROR(INDEX(値リスト!$G$3:$G$11,MATCH(I217,値リスト!$H$3:$H$11,0)),"")</f>
        <v>raw</v>
      </c>
      <c r="K217" s="1" t="n">
        <v>1</v>
      </c>
      <c r="L217" s="12" t="s">
        <v>1213</v>
      </c>
      <c r="N217" s="97" t="s">
        <v>125</v>
      </c>
      <c r="O217" s="1"/>
      <c r="P217" s="1"/>
      <c r="Q217" s="1"/>
      <c r="R217" s="1"/>
      <c r="S217" s="1"/>
      <c r="T217" s="1"/>
      <c r="U217" s="1"/>
      <c r="V217" s="1"/>
      <c r="W217" s="1"/>
      <c r="X217" s="1"/>
      <c r="Y217" s="1"/>
      <c r="Z217" s="1"/>
      <c r="AA217" s="1"/>
    </row>
    <row r="218" customFormat="false" ht="15.75" hidden="false" customHeight="true" outlineLevel="0" collapsed="false">
      <c r="A218" s="14" t="s">
        <v>854</v>
      </c>
      <c r="B218" s="13" t="n">
        <v>4</v>
      </c>
      <c r="C218" s="98" t="s">
        <v>129</v>
      </c>
      <c r="D218" s="101" t="str">
        <f aca="false">IFERROR(INDEX(値リスト!$G$25:$G$29,MATCH(C218,値リスト!$H$25:$H$29,0)),"")</f>
        <v>itemId</v>
      </c>
      <c r="E218" s="13" t="s">
        <v>604</v>
      </c>
      <c r="F218" s="98"/>
      <c r="G218" s="101"/>
      <c r="H218" s="13"/>
      <c r="I218" s="12" t="s">
        <v>37</v>
      </c>
      <c r="J218" s="1" t="str">
        <f aca="false">IFERROR(INDEX(値リスト!$G$3:$G$11,MATCH(I218,値リスト!$H$3:$H$11,0)),"")</f>
        <v>raw</v>
      </c>
      <c r="K218" s="1" t="n">
        <v>1</v>
      </c>
      <c r="L218" s="12" t="s">
        <v>1214</v>
      </c>
      <c r="N218" s="97" t="s">
        <v>125</v>
      </c>
      <c r="O218" s="1"/>
      <c r="P218" s="1"/>
      <c r="Q218" s="1"/>
      <c r="R218" s="1"/>
      <c r="S218" s="1"/>
      <c r="T218" s="1"/>
      <c r="U218" s="1"/>
      <c r="V218" s="1"/>
      <c r="W218" s="1"/>
      <c r="X218" s="1"/>
      <c r="Y218" s="1"/>
      <c r="Z218" s="1"/>
      <c r="AA218" s="1"/>
    </row>
    <row r="219" customFormat="false" ht="15.75" hidden="false" customHeight="true" outlineLevel="0" collapsed="false">
      <c r="O219" s="1"/>
      <c r="P219" s="1"/>
      <c r="Q219" s="1"/>
      <c r="R219" s="1"/>
      <c r="S219" s="1"/>
      <c r="T219" s="1"/>
      <c r="U219" s="1"/>
      <c r="V219" s="1"/>
      <c r="W219" s="1"/>
      <c r="X219" s="1"/>
      <c r="Y219" s="1"/>
      <c r="Z219" s="1"/>
      <c r="AA219" s="1"/>
    </row>
    <row r="220" customFormat="false" ht="15.75" hidden="false" customHeight="true" outlineLevel="0" collapsed="false">
      <c r="A220" s="14" t="s">
        <v>857</v>
      </c>
      <c r="B220" s="13" t="n">
        <v>1</v>
      </c>
      <c r="C220" s="98" t="s">
        <v>129</v>
      </c>
      <c r="D220" s="101" t="str">
        <f aca="false">IFERROR(INDEX(値リスト!$G$25:$G$29,MATCH(C220,値リスト!$H$25:$H$29,0)),"")</f>
        <v>itemId</v>
      </c>
      <c r="E220" s="13" t="s">
        <v>662</v>
      </c>
      <c r="F220" s="98"/>
      <c r="G220" s="101"/>
      <c r="H220" s="13"/>
      <c r="I220" s="12" t="s">
        <v>37</v>
      </c>
      <c r="J220" s="1" t="str">
        <f aca="false">IFERROR(INDEX(値リスト!$G$3:$G$11,MATCH(I220,値リスト!$H$3:$H$11,0)),"")</f>
        <v>raw</v>
      </c>
      <c r="K220" s="1" t="n">
        <v>1</v>
      </c>
      <c r="L220" s="12" t="s">
        <v>1211</v>
      </c>
      <c r="N220" s="97" t="s">
        <v>125</v>
      </c>
      <c r="O220" s="1"/>
      <c r="P220" s="1"/>
      <c r="Q220" s="1"/>
      <c r="R220" s="1"/>
      <c r="S220" s="1"/>
      <c r="T220" s="1"/>
      <c r="U220" s="1"/>
      <c r="V220" s="1"/>
      <c r="W220" s="1"/>
      <c r="X220" s="1"/>
      <c r="Y220" s="1"/>
      <c r="Z220" s="1"/>
      <c r="AA220" s="1"/>
    </row>
    <row r="221" customFormat="false" ht="15.75" hidden="false" customHeight="true" outlineLevel="0" collapsed="false">
      <c r="A221" s="14" t="s">
        <v>857</v>
      </c>
      <c r="B221" s="13" t="n">
        <v>2</v>
      </c>
      <c r="C221" s="98" t="s">
        <v>140</v>
      </c>
      <c r="D221" s="101" t="str">
        <f aca="false">IFERROR(INDEX(値リスト!$G$25:$G$29,MATCH(C221,値リスト!$H$25:$H$29,0)),"")</f>
        <v>reactionId</v>
      </c>
      <c r="E221" s="13" t="s">
        <v>155</v>
      </c>
      <c r="F221" s="98"/>
      <c r="G221" s="101"/>
      <c r="H221" s="13"/>
      <c r="I221" s="12" t="s">
        <v>13</v>
      </c>
      <c r="J221" s="1" t="str">
        <f aca="false">IFERROR(INDEX(値リスト!$G$3:$G$11,MATCH(I221,値リスト!$H$3:$H$11,0)),"")</f>
        <v>grind</v>
      </c>
      <c r="K221" s="1" t="n">
        <v>1</v>
      </c>
      <c r="L221" s="12" t="s">
        <v>1215</v>
      </c>
      <c r="N221" s="97" t="s">
        <v>125</v>
      </c>
      <c r="O221" s="1"/>
      <c r="P221" s="1"/>
      <c r="Q221" s="1"/>
      <c r="R221" s="1"/>
      <c r="S221" s="1"/>
      <c r="T221" s="1"/>
      <c r="U221" s="1"/>
      <c r="V221" s="1"/>
      <c r="W221" s="1"/>
      <c r="X221" s="1"/>
      <c r="Y221" s="1"/>
      <c r="Z221" s="1"/>
      <c r="AA221" s="1"/>
    </row>
    <row r="222" customFormat="false" ht="15.75" hidden="false" customHeight="true" outlineLevel="0" collapsed="false">
      <c r="A222" s="14" t="s">
        <v>857</v>
      </c>
      <c r="B222" s="13" t="n">
        <v>3</v>
      </c>
      <c r="C222" s="98" t="s">
        <v>129</v>
      </c>
      <c r="D222" s="101" t="str">
        <f aca="false">IFERROR(INDEX(値リスト!$G$25:$G$29,MATCH(C222,値リスト!$H$25:$H$29,0)),"")</f>
        <v>itemId</v>
      </c>
      <c r="E222" s="13" t="s">
        <v>588</v>
      </c>
      <c r="F222" s="98"/>
      <c r="G222" s="101"/>
      <c r="H222" s="13"/>
      <c r="I222" s="12" t="s">
        <v>37</v>
      </c>
      <c r="J222" s="1" t="str">
        <f aca="false">IFERROR(INDEX(値リスト!$G$3:$G$11,MATCH(I222,値リスト!$H$3:$H$11,0)),"")</f>
        <v>raw</v>
      </c>
      <c r="K222" s="1" t="n">
        <v>1</v>
      </c>
      <c r="L222" s="12" t="s">
        <v>1216</v>
      </c>
      <c r="N222" s="97" t="s">
        <v>125</v>
      </c>
      <c r="O222" s="1"/>
      <c r="P222" s="1"/>
      <c r="Q222" s="1"/>
      <c r="R222" s="1"/>
      <c r="S222" s="1"/>
      <c r="T222" s="1"/>
      <c r="U222" s="1"/>
      <c r="V222" s="1"/>
      <c r="W222" s="1"/>
      <c r="X222" s="1"/>
      <c r="Y222" s="1"/>
      <c r="Z222" s="1"/>
      <c r="AA222" s="1"/>
    </row>
    <row r="223" customFormat="false" ht="15.75" hidden="false" customHeight="true" outlineLevel="0" collapsed="false">
      <c r="A223" s="14" t="s">
        <v>857</v>
      </c>
      <c r="B223" s="13" t="n">
        <v>4</v>
      </c>
      <c r="C223" s="98" t="s">
        <v>129</v>
      </c>
      <c r="D223" s="101" t="str">
        <f aca="false">IFERROR(INDEX(値リスト!$G$25:$G$29,MATCH(C223,値リスト!$H$25:$H$29,0)),"")</f>
        <v>itemId</v>
      </c>
      <c r="E223" s="13" t="s">
        <v>622</v>
      </c>
      <c r="F223" s="98"/>
      <c r="G223" s="101"/>
      <c r="H223" s="13"/>
      <c r="I223" s="12" t="s">
        <v>37</v>
      </c>
      <c r="J223" s="1" t="str">
        <f aca="false">IFERROR(INDEX(値リスト!$G$3:$G$11,MATCH(I223,値リスト!$H$3:$H$11,0)),"")</f>
        <v>raw</v>
      </c>
      <c r="K223" s="1" t="n">
        <v>1</v>
      </c>
      <c r="L223" s="12" t="s">
        <v>1190</v>
      </c>
      <c r="N223" s="97" t="s">
        <v>125</v>
      </c>
      <c r="O223" s="1"/>
      <c r="P223" s="1"/>
      <c r="Q223" s="1"/>
      <c r="R223" s="1"/>
      <c r="S223" s="1"/>
      <c r="T223" s="1"/>
      <c r="U223" s="1"/>
      <c r="V223" s="1"/>
      <c r="W223" s="1"/>
      <c r="X223" s="1"/>
      <c r="Y223" s="1"/>
      <c r="Z223" s="1"/>
      <c r="AA223" s="1"/>
    </row>
    <row r="224" customFormat="false" ht="15.75" hidden="false" customHeight="true" outlineLevel="0" collapsed="false">
      <c r="O224" s="1"/>
      <c r="P224" s="1"/>
      <c r="Q224" s="1"/>
      <c r="R224" s="1"/>
      <c r="S224" s="1"/>
      <c r="T224" s="1"/>
      <c r="U224" s="1"/>
      <c r="V224" s="1"/>
      <c r="W224" s="1"/>
      <c r="X224" s="1"/>
      <c r="Y224" s="1"/>
      <c r="Z224" s="1"/>
      <c r="AA224" s="1"/>
    </row>
    <row r="225" customFormat="false" ht="15.75" hidden="false" customHeight="true" outlineLevel="0" collapsed="false">
      <c r="A225" s="14" t="s">
        <v>860</v>
      </c>
      <c r="B225" s="13" t="n">
        <v>1</v>
      </c>
      <c r="C225" s="98" t="s">
        <v>129</v>
      </c>
      <c r="D225" s="101" t="str">
        <f aca="false">IFERROR(INDEX(値リスト!$G$25:$G$29,MATCH(C225,値リスト!$H$25:$H$29,0)),"")</f>
        <v>itemId</v>
      </c>
      <c r="E225" s="13" t="s">
        <v>686</v>
      </c>
      <c r="F225" s="98"/>
      <c r="G225" s="101"/>
      <c r="H225" s="13"/>
      <c r="I225" s="12" t="s">
        <v>37</v>
      </c>
      <c r="J225" s="1" t="str">
        <f aca="false">IFERROR(INDEX(値リスト!$G$3:$G$11,MATCH(I225,値リスト!$H$3:$H$11,0)),"")</f>
        <v>raw</v>
      </c>
      <c r="K225" s="1" t="n">
        <v>1</v>
      </c>
      <c r="L225" s="12" t="s">
        <v>1211</v>
      </c>
      <c r="N225" s="97" t="s">
        <v>125</v>
      </c>
      <c r="O225" s="1"/>
      <c r="P225" s="1"/>
      <c r="Q225" s="1"/>
      <c r="R225" s="1"/>
      <c r="S225" s="1"/>
      <c r="T225" s="1"/>
      <c r="U225" s="1"/>
      <c r="V225" s="1"/>
      <c r="W225" s="1"/>
      <c r="X225" s="1"/>
      <c r="Y225" s="1"/>
      <c r="Z225" s="1"/>
      <c r="AA225" s="1"/>
    </row>
    <row r="226" customFormat="false" ht="15.75" hidden="false" customHeight="true" outlineLevel="0" collapsed="false">
      <c r="A226" s="14" t="s">
        <v>860</v>
      </c>
      <c r="B226" s="13" t="n">
        <v>2</v>
      </c>
      <c r="C226" s="98" t="s">
        <v>140</v>
      </c>
      <c r="D226" s="101" t="str">
        <f aca="false">IFERROR(INDEX(値リスト!$G$25:$G$29,MATCH(C226,値リスト!$H$25:$H$29,0)),"")</f>
        <v>reactionId</v>
      </c>
      <c r="E226" s="13" t="s">
        <v>146</v>
      </c>
      <c r="F226" s="98"/>
      <c r="G226" s="101"/>
      <c r="H226" s="13"/>
      <c r="I226" s="12" t="s">
        <v>29</v>
      </c>
      <c r="J226" s="1" t="str">
        <f aca="false">IFERROR(INDEX(値リスト!$G$3:$G$11,MATCH(I226,値リスト!$H$3:$H$11,0)),"")</f>
        <v>dry</v>
      </c>
      <c r="K226" s="1" t="n">
        <v>1</v>
      </c>
      <c r="L226" s="12" t="s">
        <v>1217</v>
      </c>
      <c r="N226" s="97" t="s">
        <v>125</v>
      </c>
      <c r="O226" s="1"/>
      <c r="P226" s="1"/>
      <c r="Q226" s="1"/>
      <c r="R226" s="1"/>
      <c r="S226" s="1"/>
      <c r="T226" s="1"/>
      <c r="U226" s="1"/>
      <c r="V226" s="1"/>
      <c r="W226" s="1"/>
      <c r="X226" s="1"/>
      <c r="Y226" s="1"/>
      <c r="Z226" s="1"/>
      <c r="AA226" s="1"/>
    </row>
    <row r="227" customFormat="false" ht="15.75" hidden="false" customHeight="true" outlineLevel="0" collapsed="false">
      <c r="A227" s="14" t="s">
        <v>860</v>
      </c>
      <c r="B227" s="13" t="n">
        <v>3</v>
      </c>
      <c r="C227" s="98" t="s">
        <v>129</v>
      </c>
      <c r="D227" s="101" t="str">
        <f aca="false">IFERROR(INDEX(値リスト!$G$25:$G$29,MATCH(C227,値リスト!$H$25:$H$29,0)),"")</f>
        <v>itemId</v>
      </c>
      <c r="E227" s="13" t="s">
        <v>658</v>
      </c>
      <c r="F227" s="98"/>
      <c r="G227" s="101"/>
      <c r="H227" s="13"/>
      <c r="I227" s="12" t="s">
        <v>37</v>
      </c>
      <c r="J227" s="1" t="str">
        <f aca="false">IFERROR(INDEX(値リスト!$G$3:$G$11,MATCH(I227,値リスト!$H$3:$H$11,0)),"")</f>
        <v>raw</v>
      </c>
      <c r="K227" s="1" t="n">
        <v>1</v>
      </c>
      <c r="L227" s="12" t="s">
        <v>1135</v>
      </c>
      <c r="N227" s="97" t="s">
        <v>125</v>
      </c>
      <c r="O227" s="1"/>
      <c r="P227" s="1"/>
      <c r="Q227" s="1"/>
      <c r="R227" s="1"/>
      <c r="S227" s="1"/>
      <c r="T227" s="1"/>
      <c r="U227" s="1"/>
      <c r="V227" s="1"/>
      <c r="W227" s="1"/>
      <c r="X227" s="1"/>
      <c r="Y227" s="1"/>
      <c r="Z227" s="1"/>
      <c r="AA227" s="1"/>
    </row>
    <row r="228" customFormat="false" ht="15.75" hidden="false" customHeight="true" outlineLevel="0" collapsed="false">
      <c r="A228" s="14" t="s">
        <v>860</v>
      </c>
      <c r="B228" s="13" t="n">
        <v>4</v>
      </c>
      <c r="C228" s="98" t="s">
        <v>129</v>
      </c>
      <c r="D228" s="101" t="str">
        <f aca="false">IFERROR(INDEX(値リスト!$G$25:$G$29,MATCH(C228,値リスト!$H$25:$H$29,0)),"")</f>
        <v>itemId</v>
      </c>
      <c r="E228" s="13" t="s">
        <v>682</v>
      </c>
      <c r="F228" s="98"/>
      <c r="G228" s="101"/>
      <c r="H228" s="13"/>
      <c r="I228" s="12" t="s">
        <v>37</v>
      </c>
      <c r="J228" s="1" t="str">
        <f aca="false">IFERROR(INDEX(値リスト!$G$3:$G$11,MATCH(I228,値リスト!$H$3:$H$11,0)),"")</f>
        <v>raw</v>
      </c>
      <c r="K228" s="1" t="n">
        <v>1</v>
      </c>
      <c r="L228" s="12" t="s">
        <v>1218</v>
      </c>
      <c r="N228" s="97" t="s">
        <v>125</v>
      </c>
      <c r="O228" s="1"/>
      <c r="P228" s="1"/>
      <c r="Q228" s="1"/>
      <c r="R228" s="1"/>
      <c r="S228" s="1"/>
      <c r="T228" s="1"/>
      <c r="U228" s="1"/>
      <c r="V228" s="1"/>
      <c r="W228" s="1"/>
      <c r="X228" s="1"/>
      <c r="Y228" s="1"/>
      <c r="Z228" s="1"/>
      <c r="AA228" s="1"/>
    </row>
    <row r="229" customFormat="false" ht="15.75" hidden="false" customHeight="true" outlineLevel="0" collapsed="false">
      <c r="O229" s="1"/>
      <c r="P229" s="1"/>
      <c r="Q229" s="1"/>
      <c r="R229" s="1"/>
      <c r="S229" s="1"/>
      <c r="T229" s="1"/>
      <c r="U229" s="1"/>
      <c r="V229" s="1"/>
      <c r="W229" s="1"/>
      <c r="X229" s="1"/>
      <c r="Y229" s="1"/>
      <c r="Z229" s="1"/>
      <c r="AA229" s="1"/>
    </row>
    <row r="230" customFormat="false" ht="15.75" hidden="false" customHeight="true" outlineLevel="0" collapsed="false">
      <c r="A230" s="14" t="s">
        <v>863</v>
      </c>
      <c r="B230" s="13" t="n">
        <v>1</v>
      </c>
      <c r="C230" s="98" t="s">
        <v>136</v>
      </c>
      <c r="D230" s="101" t="str">
        <f aca="false">IFERROR(INDEX(値リスト!$G$25:$G$29,MATCH(C230,値リスト!$H$25:$H$29,0)),"")</f>
        <v>effectId</v>
      </c>
      <c r="E230" s="13" t="s">
        <v>71</v>
      </c>
      <c r="F230" s="98"/>
      <c r="G230" s="101"/>
      <c r="H230" s="13"/>
      <c r="I230" s="12" t="s">
        <v>29</v>
      </c>
      <c r="J230" s="1" t="str">
        <f aca="false">IFERROR(INDEX(値リスト!$G$3:$G$11,MATCH(I230,値リスト!$H$3:$H$11,0)),"")</f>
        <v>dry</v>
      </c>
      <c r="K230" s="1" t="n">
        <v>1</v>
      </c>
      <c r="L230" s="12" t="s">
        <v>1211</v>
      </c>
      <c r="N230" s="97" t="s">
        <v>125</v>
      </c>
      <c r="O230" s="1"/>
      <c r="P230" s="1"/>
      <c r="Q230" s="1"/>
      <c r="R230" s="1"/>
      <c r="S230" s="1"/>
      <c r="T230" s="1"/>
      <c r="U230" s="1"/>
      <c r="V230" s="1"/>
      <c r="W230" s="1"/>
      <c r="X230" s="1"/>
      <c r="Y230" s="1"/>
      <c r="Z230" s="1"/>
      <c r="AA230" s="1"/>
    </row>
    <row r="231" customFormat="false" ht="15.75" hidden="false" customHeight="true" outlineLevel="0" collapsed="false">
      <c r="A231" s="14" t="s">
        <v>863</v>
      </c>
      <c r="B231" s="13" t="n">
        <v>2</v>
      </c>
      <c r="C231" s="98" t="s">
        <v>136</v>
      </c>
      <c r="D231" s="101" t="str">
        <f aca="false">IFERROR(INDEX(値リスト!$G$25:$G$29,MATCH(C231,値リスト!$H$25:$H$29,0)),"")</f>
        <v>effectId</v>
      </c>
      <c r="E231" s="13" t="s">
        <v>97</v>
      </c>
      <c r="F231" s="98"/>
      <c r="G231" s="101"/>
      <c r="H231" s="13"/>
      <c r="I231" s="12" t="s">
        <v>65</v>
      </c>
      <c r="J231" s="1" t="str">
        <f aca="false">IFERROR(INDEX(値リスト!$G$3:$G$11,MATCH(I231,値リスト!$H$3:$H$11,0)),"")</f>
        <v>dissolve</v>
      </c>
      <c r="K231" s="1" t="n">
        <v>1</v>
      </c>
      <c r="L231" s="12" t="s">
        <v>1219</v>
      </c>
      <c r="N231" s="97" t="s">
        <v>125</v>
      </c>
      <c r="O231" s="1"/>
      <c r="P231" s="1"/>
      <c r="Q231" s="1"/>
      <c r="R231" s="1"/>
      <c r="S231" s="1"/>
      <c r="T231" s="1"/>
      <c r="U231" s="1"/>
      <c r="V231" s="1"/>
      <c r="W231" s="1"/>
      <c r="X231" s="1"/>
      <c r="Y231" s="1"/>
      <c r="Z231" s="1"/>
      <c r="AA231" s="1"/>
    </row>
    <row r="232" customFormat="false" ht="15.75" hidden="false" customHeight="true" outlineLevel="0" collapsed="false">
      <c r="A232" s="14" t="s">
        <v>863</v>
      </c>
      <c r="B232" s="13" t="n">
        <v>3</v>
      </c>
      <c r="C232" s="98" t="s">
        <v>129</v>
      </c>
      <c r="D232" s="101" t="str">
        <f aca="false">IFERROR(INDEX(値リスト!$G$25:$G$29,MATCH(C232,値リスト!$H$25:$H$29,0)),"")</f>
        <v>itemId</v>
      </c>
      <c r="E232" s="13" t="s">
        <v>654</v>
      </c>
      <c r="F232" s="98"/>
      <c r="G232" s="101"/>
      <c r="H232" s="13"/>
      <c r="I232" s="12" t="s">
        <v>37</v>
      </c>
      <c r="J232" s="1" t="str">
        <f aca="false">IFERROR(INDEX(値リスト!$G$3:$G$11,MATCH(I232,値リスト!$H$3:$H$11,0)),"")</f>
        <v>raw</v>
      </c>
      <c r="K232" s="1" t="n">
        <v>1</v>
      </c>
      <c r="L232" s="12" t="s">
        <v>1220</v>
      </c>
      <c r="N232" s="97" t="s">
        <v>125</v>
      </c>
      <c r="O232" s="1"/>
      <c r="P232" s="1"/>
      <c r="Q232" s="1"/>
      <c r="R232" s="1"/>
      <c r="S232" s="1"/>
      <c r="T232" s="1"/>
      <c r="U232" s="1"/>
      <c r="V232" s="1"/>
      <c r="W232" s="1"/>
      <c r="X232" s="1"/>
      <c r="Y232" s="1"/>
      <c r="Z232" s="1"/>
      <c r="AA232" s="1"/>
    </row>
    <row r="233" customFormat="false" ht="15.75" hidden="false" customHeight="true" outlineLevel="0" collapsed="false">
      <c r="A233" s="14" t="s">
        <v>863</v>
      </c>
      <c r="B233" s="13" t="n">
        <v>4</v>
      </c>
      <c r="C233" s="98" t="s">
        <v>129</v>
      </c>
      <c r="D233" s="101" t="str">
        <f aca="false">IFERROR(INDEX(値リスト!$G$25:$G$29,MATCH(C233,値リスト!$H$25:$H$29,0)),"")</f>
        <v>itemId</v>
      </c>
      <c r="E233" s="13" t="s">
        <v>674</v>
      </c>
      <c r="F233" s="98"/>
      <c r="G233" s="101"/>
      <c r="H233" s="13"/>
      <c r="I233" s="12" t="s">
        <v>37</v>
      </c>
      <c r="J233" s="1" t="str">
        <f aca="false">IFERROR(INDEX(値リスト!$G$3:$G$11,MATCH(I233,値リスト!$H$3:$H$11,0)),"")</f>
        <v>raw</v>
      </c>
      <c r="K233" s="1" t="n">
        <v>1</v>
      </c>
      <c r="L233" s="12" t="s">
        <v>1221</v>
      </c>
      <c r="N233" s="97" t="s">
        <v>125</v>
      </c>
      <c r="O233" s="1"/>
      <c r="P233" s="1"/>
      <c r="Q233" s="1"/>
      <c r="R233" s="1"/>
      <c r="S233" s="1"/>
      <c r="T233" s="1"/>
      <c r="U233" s="1"/>
      <c r="V233" s="1"/>
      <c r="W233" s="1"/>
      <c r="X233" s="1"/>
      <c r="Y233" s="1"/>
      <c r="Z233" s="1"/>
      <c r="AA233" s="1"/>
    </row>
    <row r="234" customFormat="false" ht="15.75" hidden="false" customHeight="true" outlineLevel="0" collapsed="false">
      <c r="O234" s="1"/>
      <c r="P234" s="1"/>
      <c r="Q234" s="1"/>
      <c r="R234" s="1"/>
      <c r="S234" s="1"/>
      <c r="T234" s="1"/>
      <c r="U234" s="1"/>
      <c r="V234" s="1"/>
      <c r="W234" s="1"/>
      <c r="X234" s="1"/>
      <c r="Y234" s="1"/>
      <c r="Z234" s="1"/>
      <c r="AA234" s="1"/>
    </row>
    <row r="235" customFormat="false" ht="15.75" hidden="false" customHeight="true" outlineLevel="0" collapsed="false">
      <c r="A235" s="14" t="s">
        <v>866</v>
      </c>
      <c r="B235" s="13" t="n">
        <v>1</v>
      </c>
      <c r="C235" s="98" t="s">
        <v>129</v>
      </c>
      <c r="D235" s="101" t="str">
        <f aca="false">IFERROR(INDEX(値リスト!$G$25:$G$29,MATCH(C235,値リスト!$H$25:$H$29,0)),"")</f>
        <v>itemId</v>
      </c>
      <c r="E235" s="13" t="s">
        <v>666</v>
      </c>
      <c r="F235" s="98"/>
      <c r="G235" s="101"/>
      <c r="H235" s="13"/>
      <c r="I235" s="12" t="s">
        <v>37</v>
      </c>
      <c r="J235" s="1" t="str">
        <f aca="false">IFERROR(INDEX(値リスト!$G$3:$G$11,MATCH(I235,値リスト!$H$3:$H$11,0)),"")</f>
        <v>raw</v>
      </c>
      <c r="K235" s="1" t="n">
        <v>1</v>
      </c>
      <c r="L235" s="12" t="s">
        <v>1211</v>
      </c>
      <c r="N235" s="97" t="s">
        <v>125</v>
      </c>
      <c r="O235" s="1"/>
      <c r="P235" s="1"/>
      <c r="Q235" s="1"/>
      <c r="R235" s="1"/>
      <c r="S235" s="1"/>
      <c r="T235" s="1"/>
      <c r="U235" s="1"/>
      <c r="V235" s="1"/>
      <c r="W235" s="1"/>
      <c r="X235" s="1"/>
      <c r="Y235" s="1"/>
      <c r="Z235" s="1"/>
      <c r="AA235" s="1"/>
    </row>
    <row r="236" customFormat="false" ht="15.75" hidden="false" customHeight="true" outlineLevel="0" collapsed="false">
      <c r="A236" s="14" t="s">
        <v>866</v>
      </c>
      <c r="B236" s="13" t="n">
        <v>2</v>
      </c>
      <c r="C236" s="98" t="s">
        <v>140</v>
      </c>
      <c r="D236" s="101" t="str">
        <f aca="false">IFERROR(INDEX(値リスト!$G$25:$G$29,MATCH(C236,値リスト!$H$25:$H$29,0)),"")</f>
        <v>reactionId</v>
      </c>
      <c r="E236" s="13" t="s">
        <v>132</v>
      </c>
      <c r="F236" s="98"/>
      <c r="G236" s="101"/>
      <c r="H236" s="13"/>
      <c r="I236" s="12" t="s">
        <v>37</v>
      </c>
      <c r="J236" s="1" t="str">
        <f aca="false">IFERROR(INDEX(値リスト!$G$3:$G$11,MATCH(I236,値リスト!$H$3:$H$11,0)),"")</f>
        <v>raw</v>
      </c>
      <c r="K236" s="1" t="n">
        <v>1</v>
      </c>
      <c r="L236" s="12" t="s">
        <v>1222</v>
      </c>
      <c r="N236" s="97" t="s">
        <v>125</v>
      </c>
      <c r="O236" s="1"/>
      <c r="P236" s="1"/>
      <c r="Q236" s="1"/>
      <c r="R236" s="1"/>
      <c r="S236" s="1"/>
      <c r="T236" s="1"/>
      <c r="U236" s="1"/>
      <c r="V236" s="1"/>
      <c r="W236" s="1"/>
      <c r="X236" s="1"/>
      <c r="Y236" s="1"/>
      <c r="Z236" s="1"/>
      <c r="AA236" s="1"/>
    </row>
    <row r="237" customFormat="false" ht="15.75" hidden="false" customHeight="true" outlineLevel="0" collapsed="false">
      <c r="A237" s="14" t="s">
        <v>866</v>
      </c>
      <c r="B237" s="13" t="n">
        <v>3</v>
      </c>
      <c r="C237" s="98" t="s">
        <v>129</v>
      </c>
      <c r="D237" s="101" t="str">
        <f aca="false">IFERROR(INDEX(値リスト!$G$25:$G$29,MATCH(C237,値リスト!$H$25:$H$29,0)),"")</f>
        <v>itemId</v>
      </c>
      <c r="E237" s="13" t="s">
        <v>678</v>
      </c>
      <c r="F237" s="98"/>
      <c r="G237" s="101"/>
      <c r="H237" s="13"/>
      <c r="I237" s="12" t="s">
        <v>37</v>
      </c>
      <c r="J237" s="1" t="str">
        <f aca="false">IFERROR(INDEX(値リスト!$G$3:$G$11,MATCH(I237,値リスト!$H$3:$H$11,0)),"")</f>
        <v>raw</v>
      </c>
      <c r="K237" s="1" t="n">
        <v>1</v>
      </c>
      <c r="L237" s="12" t="s">
        <v>1223</v>
      </c>
      <c r="N237" s="97" t="s">
        <v>125</v>
      </c>
      <c r="O237" s="1"/>
      <c r="P237" s="1"/>
      <c r="Q237" s="1"/>
      <c r="R237" s="1"/>
      <c r="S237" s="1"/>
      <c r="T237" s="1"/>
      <c r="U237" s="1"/>
      <c r="V237" s="1"/>
      <c r="W237" s="1"/>
      <c r="X237" s="1"/>
      <c r="Y237" s="1"/>
      <c r="Z237" s="1"/>
      <c r="AA237" s="1"/>
    </row>
    <row r="238" customFormat="false" ht="15.75" hidden="false" customHeight="true" outlineLevel="0" collapsed="false">
      <c r="A238" s="14" t="s">
        <v>866</v>
      </c>
      <c r="B238" s="13" t="n">
        <v>4</v>
      </c>
      <c r="C238" s="98" t="s">
        <v>129</v>
      </c>
      <c r="D238" s="101" t="str">
        <f aca="false">IFERROR(INDEX(値リスト!$G$25:$G$29,MATCH(C238,値リスト!$H$25:$H$29,0)),"")</f>
        <v>itemId</v>
      </c>
      <c r="E238" s="13" t="s">
        <v>626</v>
      </c>
      <c r="F238" s="98"/>
      <c r="G238" s="101"/>
      <c r="H238" s="13"/>
      <c r="I238" s="12" t="s">
        <v>37</v>
      </c>
      <c r="J238" s="1" t="str">
        <f aca="false">IFERROR(INDEX(値リスト!$G$3:$G$11,MATCH(I238,値リスト!$H$3:$H$11,0)),"")</f>
        <v>raw</v>
      </c>
      <c r="K238" s="1" t="n">
        <v>1</v>
      </c>
      <c r="L238" s="12" t="s">
        <v>1224</v>
      </c>
      <c r="N238" s="97" t="s">
        <v>125</v>
      </c>
      <c r="O238" s="1"/>
      <c r="P238" s="1"/>
      <c r="Q238" s="1"/>
      <c r="R238" s="1"/>
      <c r="S238" s="1"/>
      <c r="T238" s="1"/>
      <c r="U238" s="1"/>
      <c r="V238" s="1"/>
      <c r="W238" s="1"/>
      <c r="X238" s="1"/>
      <c r="Y238" s="1"/>
      <c r="Z238" s="1"/>
      <c r="AA238" s="1"/>
    </row>
    <row r="239" customFormat="false" ht="15.75" hidden="false" customHeight="true" outlineLevel="0" collapsed="false">
      <c r="O239" s="1"/>
      <c r="P239" s="1"/>
      <c r="Q239" s="1"/>
      <c r="R239" s="1"/>
      <c r="S239" s="1"/>
      <c r="T239" s="1"/>
      <c r="U239" s="1"/>
      <c r="V239" s="1"/>
      <c r="W239" s="1"/>
      <c r="X239" s="1"/>
      <c r="Y239" s="1"/>
      <c r="Z239" s="1"/>
      <c r="AA239" s="1"/>
    </row>
    <row r="240" customFormat="false" ht="15.75" hidden="false" customHeight="true" outlineLevel="0" collapsed="false">
      <c r="A240" s="14" t="s">
        <v>869</v>
      </c>
      <c r="B240" s="13" t="n">
        <v>1</v>
      </c>
      <c r="C240" s="98" t="s">
        <v>136</v>
      </c>
      <c r="D240" s="101" t="str">
        <f aca="false">IFERROR(INDEX(値リスト!$G$25:$G$29,MATCH(C240,値リスト!$H$25:$H$29,0)),"")</f>
        <v>effectId</v>
      </c>
      <c r="E240" s="13" t="s">
        <v>115</v>
      </c>
      <c r="F240" s="98"/>
      <c r="G240" s="101"/>
      <c r="H240" s="13"/>
      <c r="I240" s="12" t="s">
        <v>65</v>
      </c>
      <c r="J240" s="1" t="str">
        <f aca="false">IFERROR(INDEX(値リスト!$G$3:$G$11,MATCH(I240,値リスト!$H$3:$H$11,0)),"")</f>
        <v>dissolve</v>
      </c>
      <c r="K240" s="1" t="n">
        <v>1</v>
      </c>
      <c r="L240" s="12" t="s">
        <v>1211</v>
      </c>
      <c r="N240" s="97" t="s">
        <v>125</v>
      </c>
      <c r="O240" s="1"/>
      <c r="P240" s="1"/>
      <c r="Q240" s="1"/>
      <c r="R240" s="1"/>
      <c r="S240" s="1"/>
      <c r="T240" s="1"/>
      <c r="U240" s="1"/>
      <c r="V240" s="1"/>
      <c r="W240" s="1"/>
      <c r="X240" s="1"/>
      <c r="Y240" s="1"/>
      <c r="Z240" s="1"/>
      <c r="AA240" s="1"/>
    </row>
    <row r="241" customFormat="false" ht="15.75" hidden="false" customHeight="true" outlineLevel="0" collapsed="false">
      <c r="A241" s="14" t="s">
        <v>869</v>
      </c>
      <c r="B241" s="13" t="n">
        <v>2</v>
      </c>
      <c r="C241" s="98" t="s">
        <v>129</v>
      </c>
      <c r="D241" s="101" t="str">
        <f aca="false">IFERROR(INDEX(値リスト!$G$25:$G$29,MATCH(C241,値リスト!$H$25:$H$29,0)),"")</f>
        <v>itemId</v>
      </c>
      <c r="E241" s="13" t="s">
        <v>634</v>
      </c>
      <c r="F241" s="98"/>
      <c r="G241" s="101"/>
      <c r="H241" s="13"/>
      <c r="I241" s="12" t="s">
        <v>37</v>
      </c>
      <c r="J241" s="1" t="str">
        <f aca="false">IFERROR(INDEX(値リスト!$G$3:$G$11,MATCH(I241,値リスト!$H$3:$H$11,0)),"")</f>
        <v>raw</v>
      </c>
      <c r="K241" s="1" t="n">
        <v>1</v>
      </c>
      <c r="L241" s="12" t="s">
        <v>1225</v>
      </c>
      <c r="N241" s="97" t="s">
        <v>125</v>
      </c>
      <c r="O241" s="1"/>
      <c r="P241" s="1"/>
      <c r="Q241" s="1"/>
      <c r="R241" s="1"/>
      <c r="S241" s="1"/>
      <c r="T241" s="1"/>
      <c r="U241" s="1"/>
      <c r="V241" s="1"/>
      <c r="W241" s="1"/>
      <c r="X241" s="1"/>
      <c r="Y241" s="1"/>
      <c r="Z241" s="1"/>
      <c r="AA241" s="1"/>
    </row>
    <row r="242" customFormat="false" ht="15.75" hidden="false" customHeight="true" outlineLevel="0" collapsed="false">
      <c r="A242" s="14" t="s">
        <v>869</v>
      </c>
      <c r="B242" s="13" t="n">
        <v>3</v>
      </c>
      <c r="C242" s="98" t="s">
        <v>129</v>
      </c>
      <c r="D242" s="101" t="str">
        <f aca="false">IFERROR(INDEX(値リスト!$G$25:$G$29,MATCH(C242,値リスト!$H$25:$H$29,0)),"")</f>
        <v>itemId</v>
      </c>
      <c r="E242" s="13" t="s">
        <v>678</v>
      </c>
      <c r="F242" s="98"/>
      <c r="G242" s="101"/>
      <c r="H242" s="13"/>
      <c r="I242" s="12" t="s">
        <v>37</v>
      </c>
      <c r="J242" s="1" t="str">
        <f aca="false">IFERROR(INDEX(値リスト!$G$3:$G$11,MATCH(I242,値リスト!$H$3:$H$11,0)),"")</f>
        <v>raw</v>
      </c>
      <c r="K242" s="1" t="n">
        <v>1</v>
      </c>
      <c r="L242" s="12" t="s">
        <v>1226</v>
      </c>
      <c r="N242" s="97" t="s">
        <v>125</v>
      </c>
      <c r="O242" s="1"/>
      <c r="P242" s="1"/>
      <c r="Q242" s="1"/>
      <c r="R242" s="1"/>
      <c r="S242" s="1"/>
      <c r="T242" s="1"/>
      <c r="U242" s="1"/>
      <c r="V242" s="1"/>
      <c r="W242" s="1"/>
      <c r="X242" s="1"/>
      <c r="Y242" s="1"/>
      <c r="Z242" s="1"/>
      <c r="AA242" s="1"/>
    </row>
    <row r="243" customFormat="false" ht="15.75" hidden="false" customHeight="true" outlineLevel="0" collapsed="false">
      <c r="A243" s="14" t="s">
        <v>869</v>
      </c>
      <c r="B243" s="13" t="n">
        <v>4</v>
      </c>
      <c r="C243" s="98" t="s">
        <v>129</v>
      </c>
      <c r="D243" s="101" t="str">
        <f aca="false">IFERROR(INDEX(値リスト!$G$25:$G$29,MATCH(C243,値リスト!$H$25:$H$29,0)),"")</f>
        <v>itemId</v>
      </c>
      <c r="E243" s="13" t="s">
        <v>618</v>
      </c>
      <c r="F243" s="98"/>
      <c r="G243" s="101"/>
      <c r="H243" s="13"/>
      <c r="I243" s="12" t="s">
        <v>37</v>
      </c>
      <c r="J243" s="1" t="str">
        <f aca="false">IFERROR(INDEX(値リスト!$G$3:$G$11,MATCH(I243,値リスト!$H$3:$H$11,0)),"")</f>
        <v>raw</v>
      </c>
      <c r="K243" s="1" t="n">
        <v>1</v>
      </c>
      <c r="L243" s="12" t="s">
        <v>1227</v>
      </c>
      <c r="N243" s="97" t="s">
        <v>125</v>
      </c>
      <c r="O243" s="1"/>
      <c r="P243" s="1"/>
      <c r="Q243" s="1"/>
      <c r="R243" s="1"/>
      <c r="S243" s="1"/>
      <c r="T243" s="1"/>
      <c r="U243" s="1"/>
      <c r="V243" s="1"/>
      <c r="W243" s="1"/>
      <c r="X243" s="1"/>
      <c r="Y243" s="1"/>
      <c r="Z243" s="1"/>
      <c r="AA243" s="1"/>
    </row>
    <row r="244" customFormat="false" ht="15.75" hidden="false" customHeight="true" outlineLevel="0" collapsed="false">
      <c r="O244" s="1"/>
      <c r="P244" s="1"/>
      <c r="Q244" s="1"/>
      <c r="R244" s="1"/>
      <c r="S244" s="1"/>
      <c r="T244" s="1"/>
      <c r="U244" s="1"/>
      <c r="V244" s="1"/>
      <c r="W244" s="1"/>
      <c r="X244" s="1"/>
      <c r="Y244" s="1"/>
      <c r="Z244" s="1"/>
      <c r="AA244" s="1"/>
    </row>
    <row r="245" customFormat="false" ht="15.75" hidden="false" customHeight="true" outlineLevel="0" collapsed="false">
      <c r="A245" s="14" t="s">
        <v>872</v>
      </c>
      <c r="B245" s="13" t="n">
        <v>1</v>
      </c>
      <c r="C245" s="98" t="s">
        <v>136</v>
      </c>
      <c r="D245" s="101" t="str">
        <f aca="false">IFERROR(INDEX(値リスト!$G$25:$G$29,MATCH(C245,値リスト!$H$25:$H$29,0)),"")</f>
        <v>effectId</v>
      </c>
      <c r="E245" s="13" t="s">
        <v>71</v>
      </c>
      <c r="F245" s="98"/>
      <c r="G245" s="101"/>
      <c r="H245" s="13"/>
      <c r="I245" s="12" t="s">
        <v>68</v>
      </c>
      <c r="J245" s="1" t="str">
        <f aca="false">IFERROR(INDEX(値リスト!$G$3:$G$11,MATCH(I245,値リスト!$H$3:$H$11,0)),"")</f>
        <v>distill</v>
      </c>
      <c r="K245" s="1" t="n">
        <v>1</v>
      </c>
      <c r="L245" s="12" t="s">
        <v>1228</v>
      </c>
      <c r="N245" s="97" t="s">
        <v>975</v>
      </c>
      <c r="O245" s="1"/>
      <c r="P245" s="1"/>
      <c r="Q245" s="1"/>
      <c r="R245" s="1"/>
      <c r="S245" s="1"/>
      <c r="T245" s="1"/>
      <c r="U245" s="1"/>
      <c r="V245" s="1"/>
      <c r="W245" s="1"/>
      <c r="X245" s="1"/>
      <c r="Y245" s="1"/>
      <c r="Z245" s="1"/>
      <c r="AA245" s="1"/>
    </row>
    <row r="246" customFormat="false" ht="15.75" hidden="false" customHeight="true" outlineLevel="0" collapsed="false">
      <c r="A246" s="14" t="s">
        <v>872</v>
      </c>
      <c r="B246" s="13" t="n">
        <v>2</v>
      </c>
      <c r="C246" s="98" t="s">
        <v>129</v>
      </c>
      <c r="D246" s="101" t="str">
        <f aca="false">IFERROR(INDEX(値リスト!$G$25:$G$29,MATCH(C246,値リスト!$H$25:$H$29,0)),"")</f>
        <v>itemId</v>
      </c>
      <c r="E246" s="13" t="s">
        <v>585</v>
      </c>
      <c r="F246" s="98"/>
      <c r="G246" s="101"/>
      <c r="H246" s="13"/>
      <c r="I246" s="12" t="s">
        <v>37</v>
      </c>
      <c r="J246" s="1" t="str">
        <f aca="false">IFERROR(INDEX(値リスト!$G$3:$G$11,MATCH(I246,値リスト!$H$3:$H$11,0)),"")</f>
        <v>raw</v>
      </c>
      <c r="K246" s="1" t="n">
        <v>1</v>
      </c>
      <c r="L246" s="12" t="s">
        <v>1229</v>
      </c>
      <c r="N246" s="97" t="s">
        <v>975</v>
      </c>
      <c r="O246" s="1"/>
      <c r="P246" s="1"/>
      <c r="Q246" s="1"/>
      <c r="R246" s="1"/>
      <c r="S246" s="1"/>
      <c r="T246" s="1"/>
      <c r="U246" s="1"/>
      <c r="V246" s="1"/>
      <c r="W246" s="1"/>
      <c r="X246" s="1"/>
      <c r="Y246" s="1"/>
      <c r="Z246" s="1"/>
      <c r="AA246" s="1"/>
    </row>
    <row r="247" customFormat="false" ht="15.75" hidden="false" customHeight="true" outlineLevel="0" collapsed="false">
      <c r="A247" s="14" t="s">
        <v>872</v>
      </c>
      <c r="B247" s="13" t="n">
        <v>3</v>
      </c>
      <c r="C247" s="98" t="s">
        <v>129</v>
      </c>
      <c r="D247" s="101" t="str">
        <f aca="false">IFERROR(INDEX(値リスト!$G$25:$G$29,MATCH(C247,値リスト!$H$25:$H$29,0)),"")</f>
        <v>itemId</v>
      </c>
      <c r="E247" s="13" t="s">
        <v>604</v>
      </c>
      <c r="F247" s="98"/>
      <c r="G247" s="101"/>
      <c r="H247" s="13"/>
      <c r="I247" s="12" t="s">
        <v>37</v>
      </c>
      <c r="J247" s="1" t="str">
        <f aca="false">IFERROR(INDEX(値リスト!$G$3:$G$11,MATCH(I247,値リスト!$H$3:$H$11,0)),"")</f>
        <v>raw</v>
      </c>
      <c r="K247" s="1" t="n">
        <v>1</v>
      </c>
      <c r="L247" s="12" t="s">
        <v>1230</v>
      </c>
      <c r="N247" s="97" t="s">
        <v>975</v>
      </c>
      <c r="O247" s="1"/>
      <c r="P247" s="1"/>
      <c r="Q247" s="1"/>
      <c r="R247" s="1"/>
      <c r="S247" s="1"/>
      <c r="T247" s="1"/>
      <c r="U247" s="1"/>
      <c r="V247" s="1"/>
      <c r="W247" s="1"/>
      <c r="X247" s="1"/>
      <c r="Y247" s="1"/>
      <c r="Z247" s="1"/>
      <c r="AA247" s="1"/>
    </row>
    <row r="248" customFormat="false" ht="15.75" hidden="false" customHeight="true" outlineLevel="0" collapsed="false">
      <c r="A248" s="14" t="s">
        <v>872</v>
      </c>
      <c r="B248" s="13" t="n">
        <v>4</v>
      </c>
      <c r="C248" s="98" t="s">
        <v>129</v>
      </c>
      <c r="D248" s="101" t="str">
        <f aca="false">IFERROR(INDEX(値リスト!$G$25:$G$29,MATCH(C248,値リスト!$H$25:$H$29,0)),"")</f>
        <v>itemId</v>
      </c>
      <c r="E248" s="13" t="s">
        <v>622</v>
      </c>
      <c r="F248" s="98"/>
      <c r="G248" s="101"/>
      <c r="H248" s="13"/>
      <c r="I248" s="12" t="s">
        <v>37</v>
      </c>
      <c r="J248" s="1" t="str">
        <f aca="false">IFERROR(INDEX(値リスト!$G$3:$G$11,MATCH(I248,値リスト!$H$3:$H$11,0)),"")</f>
        <v>raw</v>
      </c>
      <c r="K248" s="1" t="n">
        <v>1</v>
      </c>
      <c r="L248" s="12" t="s">
        <v>1231</v>
      </c>
      <c r="N248" s="97" t="s">
        <v>975</v>
      </c>
      <c r="O248" s="1"/>
      <c r="P248" s="1"/>
      <c r="Q248" s="1"/>
      <c r="R248" s="1"/>
      <c r="S248" s="1"/>
      <c r="T248" s="1"/>
      <c r="U248" s="1"/>
      <c r="V248" s="1"/>
      <c r="W248" s="1"/>
      <c r="X248" s="1"/>
      <c r="Y248" s="1"/>
      <c r="Z248" s="1"/>
      <c r="AA248" s="1"/>
    </row>
    <row r="249" customFormat="false" ht="15.75" hidden="false" customHeight="true" outlineLevel="0" collapsed="false">
      <c r="O249" s="1"/>
      <c r="P249" s="1"/>
      <c r="Q249" s="1"/>
      <c r="R249" s="1"/>
      <c r="S249" s="1"/>
      <c r="T249" s="1"/>
      <c r="U249" s="1"/>
      <c r="V249" s="1"/>
      <c r="W249" s="1"/>
      <c r="X249" s="1"/>
      <c r="Y249" s="1"/>
      <c r="Z249" s="1"/>
      <c r="AA249" s="1"/>
    </row>
    <row r="250" customFormat="false" ht="15.75" hidden="false" customHeight="true" outlineLevel="0" collapsed="false">
      <c r="A250" s="14" t="s">
        <v>875</v>
      </c>
      <c r="B250" s="13" t="n">
        <v>1</v>
      </c>
      <c r="C250" s="98" t="s">
        <v>136</v>
      </c>
      <c r="D250" s="101" t="str">
        <f aca="false">IFERROR(INDEX(値リスト!$G$25:$G$29,MATCH(C250,値リスト!$H$25:$H$29,0)),"")</f>
        <v>effectId</v>
      </c>
      <c r="E250" s="13" t="s">
        <v>109</v>
      </c>
      <c r="F250" s="98"/>
      <c r="G250" s="101"/>
      <c r="H250" s="13"/>
      <c r="I250" s="12" t="s">
        <v>68</v>
      </c>
      <c r="J250" s="1" t="str">
        <f aca="false">IFERROR(INDEX(値リスト!$G$3:$G$11,MATCH(I250,値リスト!$H$3:$H$11,0)),"")</f>
        <v>distill</v>
      </c>
      <c r="K250" s="1" t="n">
        <v>1</v>
      </c>
      <c r="L250" s="12" t="s">
        <v>1211</v>
      </c>
      <c r="N250" s="97" t="s">
        <v>975</v>
      </c>
      <c r="O250" s="1"/>
      <c r="P250" s="1"/>
      <c r="Q250" s="1"/>
      <c r="R250" s="1"/>
      <c r="S250" s="1"/>
      <c r="T250" s="1"/>
      <c r="U250" s="1"/>
      <c r="V250" s="1"/>
      <c r="W250" s="1"/>
      <c r="X250" s="1"/>
      <c r="Y250" s="1"/>
      <c r="Z250" s="1"/>
      <c r="AA250" s="1"/>
    </row>
    <row r="251" customFormat="false" ht="15.75" hidden="false" customHeight="true" outlineLevel="0" collapsed="false">
      <c r="A251" s="14" t="s">
        <v>875</v>
      </c>
      <c r="B251" s="13" t="n">
        <v>2</v>
      </c>
      <c r="C251" s="98" t="s">
        <v>129</v>
      </c>
      <c r="D251" s="101" t="str">
        <f aca="false">IFERROR(INDEX(値リスト!$G$25:$G$29,MATCH(C251,値リスト!$H$25:$H$29,0)),"")</f>
        <v>itemId</v>
      </c>
      <c r="E251" s="13" t="s">
        <v>582</v>
      </c>
      <c r="F251" s="98"/>
      <c r="G251" s="101"/>
      <c r="H251" s="13"/>
      <c r="I251" s="12" t="s">
        <v>37</v>
      </c>
      <c r="J251" s="1" t="str">
        <f aca="false">IFERROR(INDEX(値リスト!$G$3:$G$11,MATCH(I251,値リスト!$H$3:$H$11,0)),"")</f>
        <v>raw</v>
      </c>
      <c r="K251" s="1" t="n">
        <v>1</v>
      </c>
      <c r="L251" s="12" t="s">
        <v>1232</v>
      </c>
      <c r="N251" s="97" t="s">
        <v>975</v>
      </c>
    </row>
    <row r="252" customFormat="false" ht="15.75" hidden="false" customHeight="true" outlineLevel="0" collapsed="false">
      <c r="A252" s="14" t="s">
        <v>875</v>
      </c>
      <c r="B252" s="13" t="n">
        <v>3</v>
      </c>
      <c r="C252" s="98" t="s">
        <v>129</v>
      </c>
      <c r="D252" s="101" t="str">
        <f aca="false">IFERROR(INDEX(値リスト!$G$25:$G$29,MATCH(C252,値リスト!$H$25:$H$29,0)),"")</f>
        <v>itemId</v>
      </c>
      <c r="E252" s="13" t="s">
        <v>670</v>
      </c>
      <c r="F252" s="98"/>
      <c r="G252" s="101"/>
      <c r="H252" s="13"/>
      <c r="I252" s="12" t="s">
        <v>37</v>
      </c>
      <c r="J252" s="1" t="str">
        <f aca="false">IFERROR(INDEX(値リスト!$G$3:$G$11,MATCH(I252,値リスト!$H$3:$H$11,0)),"")</f>
        <v>raw</v>
      </c>
      <c r="K252" s="1" t="n">
        <v>1</v>
      </c>
      <c r="L252" s="12" t="s">
        <v>1233</v>
      </c>
      <c r="N252" s="97" t="s">
        <v>975</v>
      </c>
    </row>
    <row r="253" customFormat="false" ht="15.75" hidden="false" customHeight="true" outlineLevel="0" collapsed="false">
      <c r="A253" s="14" t="s">
        <v>875</v>
      </c>
      <c r="B253" s="13" t="n">
        <v>4</v>
      </c>
      <c r="C253" s="98" t="s">
        <v>129</v>
      </c>
      <c r="D253" s="101" t="str">
        <f aca="false">IFERROR(INDEX(値リスト!$G$25:$G$29,MATCH(C253,値リスト!$H$25:$H$29,0)),"")</f>
        <v>itemId</v>
      </c>
      <c r="E253" s="13" t="s">
        <v>630</v>
      </c>
      <c r="F253" s="98"/>
      <c r="G253" s="101"/>
      <c r="H253" s="13"/>
      <c r="I253" s="12" t="s">
        <v>37</v>
      </c>
      <c r="J253" s="1" t="str">
        <f aca="false">IFERROR(INDEX(値リスト!$G$3:$G$11,MATCH(I253,値リスト!$H$3:$H$11,0)),"")</f>
        <v>raw</v>
      </c>
      <c r="K253" s="1" t="n">
        <v>1</v>
      </c>
      <c r="L253" s="12" t="s">
        <v>1204</v>
      </c>
      <c r="N253" s="97" t="s">
        <v>975</v>
      </c>
    </row>
    <row r="254" customFormat="false" ht="15.75" hidden="false" customHeight="true" outlineLevel="0" collapsed="false"/>
    <row r="255" customFormat="false" ht="15.75" hidden="false" customHeight="true" outlineLevel="0" collapsed="false">
      <c r="A255" s="14" t="s">
        <v>878</v>
      </c>
      <c r="B255" s="13" t="n">
        <v>1</v>
      </c>
      <c r="C255" s="98" t="s">
        <v>129</v>
      </c>
      <c r="D255" s="101" t="str">
        <f aca="false">IFERROR(INDEX(値リスト!$G$25:$G$29,MATCH(C255,値リスト!$H$25:$H$29,0)),"")</f>
        <v>itemId</v>
      </c>
      <c r="E255" s="13" t="s">
        <v>347</v>
      </c>
      <c r="F255" s="98"/>
      <c r="G255" s="101"/>
      <c r="H255" s="13"/>
      <c r="I255" s="12" t="s">
        <v>13</v>
      </c>
      <c r="J255" s="1" t="str">
        <f aca="false">IFERROR(INDEX(値リスト!$G$3:$G$11,MATCH(I255,値リスト!$H$3:$H$11,0)),"")</f>
        <v>grind</v>
      </c>
      <c r="K255" s="1" t="n">
        <v>1</v>
      </c>
      <c r="L255" s="12" t="s">
        <v>1234</v>
      </c>
      <c r="N255" s="97" t="s">
        <v>125</v>
      </c>
    </row>
    <row r="256" customFormat="false" ht="15.75" hidden="false" customHeight="true" outlineLevel="0" collapsed="false">
      <c r="A256" s="14" t="s">
        <v>878</v>
      </c>
      <c r="B256" s="13" t="n">
        <v>2</v>
      </c>
      <c r="C256" s="98" t="s">
        <v>129</v>
      </c>
      <c r="D256" s="101" t="str">
        <f aca="false">IFERROR(INDEX(値リスト!$G$25:$G$29,MATCH(C256,値リスト!$H$25:$H$29,0)),"")</f>
        <v>itemId</v>
      </c>
      <c r="E256" s="13" t="s">
        <v>690</v>
      </c>
      <c r="F256" s="98"/>
      <c r="G256" s="101"/>
      <c r="H256" s="13"/>
      <c r="I256" s="12" t="s">
        <v>37</v>
      </c>
      <c r="J256" s="1" t="str">
        <f aca="false">IFERROR(INDEX(値リスト!$G$3:$G$11,MATCH(I256,値リスト!$H$3:$H$11,0)),"")</f>
        <v>raw</v>
      </c>
      <c r="K256" s="1" t="n">
        <v>1</v>
      </c>
      <c r="L256" s="12" t="s">
        <v>1206</v>
      </c>
      <c r="N256" s="97" t="s">
        <v>125</v>
      </c>
    </row>
    <row r="257" customFormat="false" ht="15.75" hidden="false" customHeight="true" outlineLevel="0" collapsed="false">
      <c r="A257" s="14" t="s">
        <v>878</v>
      </c>
      <c r="B257" s="13" t="n">
        <v>3</v>
      </c>
      <c r="C257" s="98" t="s">
        <v>129</v>
      </c>
      <c r="D257" s="101" t="str">
        <f aca="false">IFERROR(INDEX(値リスト!$G$25:$G$29,MATCH(C257,値リスト!$H$25:$H$29,0)),"")</f>
        <v>itemId</v>
      </c>
      <c r="E257" s="13" t="s">
        <v>588</v>
      </c>
      <c r="F257" s="98"/>
      <c r="G257" s="101"/>
      <c r="H257" s="13"/>
      <c r="I257" s="12" t="s">
        <v>37</v>
      </c>
      <c r="J257" s="1" t="str">
        <f aca="false">IFERROR(INDEX(値リスト!$G$3:$G$11,MATCH(I257,値リスト!$H$3:$H$11,0)),"")</f>
        <v>raw</v>
      </c>
      <c r="K257" s="1" t="n">
        <v>1</v>
      </c>
      <c r="L257" s="12" t="s">
        <v>1216</v>
      </c>
      <c r="N257" s="97" t="s">
        <v>125</v>
      </c>
    </row>
    <row r="258" customFormat="false" ht="15.75" hidden="false" customHeight="true" outlineLevel="0" collapsed="false">
      <c r="A258" s="14" t="s">
        <v>878</v>
      </c>
      <c r="B258" s="13" t="n">
        <v>4</v>
      </c>
      <c r="C258" s="98" t="s">
        <v>140</v>
      </c>
      <c r="D258" s="101" t="str">
        <f aca="false">IFERROR(INDEX(値リスト!$G$25:$G$29,MATCH(C258,値リスト!$H$25:$H$29,0)),"")</f>
        <v>reactionId</v>
      </c>
      <c r="E258" s="13" t="s">
        <v>146</v>
      </c>
      <c r="F258" s="98"/>
      <c r="G258" s="101"/>
      <c r="H258" s="13"/>
      <c r="I258" s="12" t="s">
        <v>37</v>
      </c>
      <c r="J258" s="1" t="str">
        <f aca="false">IFERROR(INDEX(値リスト!$G$3:$G$11,MATCH(I258,値リスト!$H$3:$H$11,0)),"")</f>
        <v>raw</v>
      </c>
      <c r="K258" s="1" t="n">
        <v>1</v>
      </c>
      <c r="L258" s="12" t="s">
        <v>1235</v>
      </c>
      <c r="N258" s="97" t="s">
        <v>125</v>
      </c>
    </row>
    <row r="259" customFormat="false" ht="15.75" hidden="false" customHeight="true" outlineLevel="0" collapsed="false"/>
    <row r="260" customFormat="false" ht="15.75" hidden="false" customHeight="true" outlineLevel="0" collapsed="false">
      <c r="A260" s="14" t="s">
        <v>881</v>
      </c>
      <c r="B260" s="13" t="n">
        <v>1</v>
      </c>
      <c r="C260" s="98" t="s">
        <v>136</v>
      </c>
      <c r="D260" s="101" t="str">
        <f aca="false">IFERROR(INDEX(値リスト!$G$25:$G$29,MATCH(C260,値リスト!$H$25:$H$29,0)),"")</f>
        <v>effectId</v>
      </c>
      <c r="E260" s="13" t="s">
        <v>97</v>
      </c>
      <c r="F260" s="98"/>
      <c r="G260" s="101"/>
      <c r="H260" s="13"/>
      <c r="I260" s="12" t="s">
        <v>13</v>
      </c>
      <c r="J260" s="1" t="str">
        <f aca="false">IFERROR(INDEX(値リスト!$G$3:$G$11,MATCH(I260,値リスト!$H$3:$H$11,0)),"")</f>
        <v>grind</v>
      </c>
      <c r="K260" s="1" t="n">
        <v>1</v>
      </c>
      <c r="L260" s="12" t="s">
        <v>1211</v>
      </c>
      <c r="N260" s="97" t="s">
        <v>125</v>
      </c>
    </row>
    <row r="261" customFormat="false" ht="15.75" hidden="false" customHeight="true" outlineLevel="0" collapsed="false">
      <c r="A261" s="14" t="s">
        <v>881</v>
      </c>
      <c r="B261" s="13" t="n">
        <v>2</v>
      </c>
      <c r="C261" s="98" t="s">
        <v>129</v>
      </c>
      <c r="D261" s="101" t="str">
        <f aca="false">IFERROR(INDEX(値リスト!$G$25:$G$29,MATCH(C261,値リスト!$H$25:$H$29,0)),"")</f>
        <v>itemId</v>
      </c>
      <c r="E261" s="13" t="s">
        <v>638</v>
      </c>
      <c r="F261" s="98"/>
      <c r="G261" s="101"/>
      <c r="H261" s="13"/>
      <c r="I261" s="12" t="s">
        <v>37</v>
      </c>
      <c r="J261" s="1" t="str">
        <f aca="false">IFERROR(INDEX(値リスト!$G$3:$G$11,MATCH(I261,値リスト!$H$3:$H$11,0)),"")</f>
        <v>raw</v>
      </c>
      <c r="K261" s="1" t="n">
        <v>1</v>
      </c>
      <c r="L261" s="12" t="s">
        <v>1236</v>
      </c>
      <c r="N261" s="97" t="s">
        <v>125</v>
      </c>
    </row>
    <row r="262" customFormat="false" ht="15.75" hidden="false" customHeight="true" outlineLevel="0" collapsed="false">
      <c r="A262" s="14" t="s">
        <v>881</v>
      </c>
      <c r="B262" s="13" t="n">
        <v>3</v>
      </c>
      <c r="C262" s="98" t="s">
        <v>129</v>
      </c>
      <c r="D262" s="101" t="str">
        <f aca="false">IFERROR(INDEX(値リスト!$G$25:$G$29,MATCH(C262,値リスト!$H$25:$H$29,0)),"")</f>
        <v>itemId</v>
      </c>
      <c r="E262" s="13" t="s">
        <v>588</v>
      </c>
      <c r="F262" s="98"/>
      <c r="G262" s="101"/>
      <c r="H262" s="13"/>
      <c r="I262" s="12" t="s">
        <v>37</v>
      </c>
      <c r="J262" s="1" t="str">
        <f aca="false">IFERROR(INDEX(値リスト!$G$3:$G$11,MATCH(I262,値リスト!$H$3:$H$11,0)),"")</f>
        <v>raw</v>
      </c>
      <c r="K262" s="1" t="n">
        <v>1</v>
      </c>
      <c r="L262" s="12" t="s">
        <v>1216</v>
      </c>
      <c r="N262" s="97" t="s">
        <v>125</v>
      </c>
    </row>
    <row r="263" customFormat="false" ht="15.75" hidden="false" customHeight="true" outlineLevel="0" collapsed="false">
      <c r="A263" s="14" t="s">
        <v>881</v>
      </c>
      <c r="B263" s="13" t="n">
        <v>4</v>
      </c>
      <c r="C263" s="98" t="s">
        <v>129</v>
      </c>
      <c r="D263" s="101" t="str">
        <f aca="false">IFERROR(INDEX(値リスト!$G$25:$G$29,MATCH(C263,値リスト!$H$25:$H$29,0)),"")</f>
        <v>itemId</v>
      </c>
      <c r="E263" s="13" t="s">
        <v>654</v>
      </c>
      <c r="F263" s="98"/>
      <c r="G263" s="101"/>
      <c r="H263" s="13"/>
      <c r="I263" s="12" t="s">
        <v>37</v>
      </c>
      <c r="J263" s="1" t="str">
        <f aca="false">IFERROR(INDEX(値リスト!$G$3:$G$11,MATCH(I263,値リスト!$H$3:$H$11,0)),"")</f>
        <v>raw</v>
      </c>
      <c r="K263" s="1" t="n">
        <v>1</v>
      </c>
      <c r="L263" s="12" t="s">
        <v>1237</v>
      </c>
      <c r="N263" s="97" t="s">
        <v>125</v>
      </c>
    </row>
    <row r="264" customFormat="false" ht="15.75" hidden="false" customHeight="true" outlineLevel="0" collapsed="false"/>
    <row r="265" customFormat="false" ht="15.75" hidden="false" customHeight="true" outlineLevel="0" collapsed="false">
      <c r="A265" s="14" t="s">
        <v>884</v>
      </c>
      <c r="B265" s="13" t="n">
        <v>1</v>
      </c>
      <c r="C265" s="98" t="s">
        <v>129</v>
      </c>
      <c r="D265" s="101" t="str">
        <f aca="false">IFERROR(INDEX(値リスト!$G$25:$G$29,MATCH(C265,値リスト!$H$25:$H$29,0)),"")</f>
        <v>itemId</v>
      </c>
      <c r="E265" s="13" t="s">
        <v>585</v>
      </c>
      <c r="F265" s="98"/>
      <c r="G265" s="101"/>
      <c r="H265" s="13"/>
      <c r="I265" s="12" t="s">
        <v>37</v>
      </c>
      <c r="J265" s="1" t="str">
        <f aca="false">IFERROR(INDEX(値リスト!$G$3:$G$11,MATCH(I265,値リスト!$H$3:$H$11,0)),"")</f>
        <v>raw</v>
      </c>
      <c r="K265" s="1" t="n">
        <v>1</v>
      </c>
      <c r="L265" s="1" t="s">
        <v>1238</v>
      </c>
      <c r="N265" s="97" t="s">
        <v>975</v>
      </c>
    </row>
    <row r="266" customFormat="false" ht="15.75" hidden="false" customHeight="true" outlineLevel="0" collapsed="false">
      <c r="A266" s="14" t="s">
        <v>884</v>
      </c>
      <c r="B266" s="13" t="n">
        <v>2</v>
      </c>
      <c r="C266" s="98" t="s">
        <v>136</v>
      </c>
      <c r="D266" s="101" t="str">
        <f aca="false">IFERROR(INDEX(値リスト!$G$25:$G$29,MATCH(C266,値リスト!$H$25:$H$29,0)),"")</f>
        <v>effectId</v>
      </c>
      <c r="E266" s="13" t="s">
        <v>109</v>
      </c>
      <c r="F266" s="98"/>
      <c r="G266" s="101"/>
      <c r="H266" s="13"/>
      <c r="I266" s="12" t="s">
        <v>65</v>
      </c>
      <c r="J266" s="1" t="str">
        <f aca="false">IFERROR(INDEX(値リスト!$G$3:$G$11,MATCH(I266,値リスト!$H$3:$H$11,0)),"")</f>
        <v>dissolve</v>
      </c>
      <c r="K266" s="1" t="n">
        <v>1</v>
      </c>
      <c r="L266" s="12" t="s">
        <v>1239</v>
      </c>
      <c r="N266" s="97" t="s">
        <v>975</v>
      </c>
    </row>
    <row r="267" customFormat="false" ht="15.75" hidden="false" customHeight="true" outlineLevel="0" collapsed="false">
      <c r="A267" s="14" t="s">
        <v>884</v>
      </c>
      <c r="B267" s="13" t="n">
        <v>3</v>
      </c>
      <c r="C267" s="98" t="s">
        <v>129</v>
      </c>
      <c r="D267" s="101" t="str">
        <f aca="false">IFERROR(INDEX(値リスト!$G$25:$G$29,MATCH(C267,値リスト!$H$25:$H$29,0)),"")</f>
        <v>itemId</v>
      </c>
      <c r="E267" s="13" t="s">
        <v>604</v>
      </c>
      <c r="F267" s="98"/>
      <c r="G267" s="101"/>
      <c r="H267" s="13"/>
      <c r="I267" s="12" t="s">
        <v>37</v>
      </c>
      <c r="J267" s="1" t="str">
        <f aca="false">IFERROR(INDEX(値リスト!$G$3:$G$11,MATCH(I267,値リスト!$H$3:$H$11,0)),"")</f>
        <v>raw</v>
      </c>
      <c r="K267" s="1" t="n">
        <v>1</v>
      </c>
      <c r="L267" s="12" t="s">
        <v>1240</v>
      </c>
      <c r="N267" s="97" t="s">
        <v>975</v>
      </c>
    </row>
    <row r="268" customFormat="false" ht="15.75" hidden="false" customHeight="true" outlineLevel="0" collapsed="false">
      <c r="A268" s="14" t="s">
        <v>884</v>
      </c>
      <c r="B268" s="13" t="n">
        <v>4</v>
      </c>
      <c r="C268" s="98" t="s">
        <v>129</v>
      </c>
      <c r="D268" s="101" t="str">
        <f aca="false">IFERROR(INDEX(値リスト!$G$25:$G$29,MATCH(C268,値リスト!$H$25:$H$29,0)),"")</f>
        <v>itemId</v>
      </c>
      <c r="E268" s="13" t="s">
        <v>670</v>
      </c>
      <c r="F268" s="98"/>
      <c r="G268" s="101"/>
      <c r="H268" s="13"/>
      <c r="I268" s="12" t="s">
        <v>37</v>
      </c>
      <c r="J268" s="1" t="str">
        <f aca="false">IFERROR(INDEX(値リスト!$G$3:$G$11,MATCH(I268,値リスト!$H$3:$H$11,0)),"")</f>
        <v>raw</v>
      </c>
      <c r="K268" s="1" t="n">
        <v>1</v>
      </c>
      <c r="L268" s="12" t="s">
        <v>1241</v>
      </c>
      <c r="N268" s="97" t="s">
        <v>975</v>
      </c>
    </row>
    <row r="269" customFormat="false" ht="15.75" hidden="false" customHeight="true" outlineLevel="0" collapsed="false">
      <c r="A269" s="14" t="s">
        <v>884</v>
      </c>
      <c r="B269" s="13" t="n">
        <v>5</v>
      </c>
      <c r="C269" s="98" t="s">
        <v>136</v>
      </c>
      <c r="D269" s="101" t="str">
        <f aca="false">IFERROR(INDEX(値リスト!$G$25:$G$29,MATCH(C269,値リスト!$H$25:$H$29,0)),"")</f>
        <v>effectId</v>
      </c>
      <c r="E269" s="13" t="s">
        <v>71</v>
      </c>
      <c r="F269" s="98"/>
      <c r="G269" s="101"/>
      <c r="H269" s="13"/>
      <c r="I269" s="12" t="s">
        <v>68</v>
      </c>
      <c r="J269" s="1" t="str">
        <f aca="false">IFERROR(INDEX(値リスト!$G$3:$G$11,MATCH(I269,値リスト!$H$3:$H$11,0)),"")</f>
        <v>distill</v>
      </c>
      <c r="K269" s="1" t="n">
        <v>1</v>
      </c>
      <c r="L269" s="12" t="s">
        <v>1242</v>
      </c>
      <c r="N269" s="97" t="s">
        <v>975</v>
      </c>
    </row>
    <row r="270" customFormat="false" ht="15.75" hidden="false" customHeight="true" outlineLevel="0" collapsed="false"/>
    <row r="271" customFormat="false" ht="15.75" hidden="false" customHeight="true" outlineLevel="0" collapsed="false">
      <c r="A271" s="14" t="s">
        <v>887</v>
      </c>
      <c r="B271" s="13" t="n">
        <v>1</v>
      </c>
      <c r="C271" s="98" t="s">
        <v>129</v>
      </c>
      <c r="D271" s="101" t="str">
        <f aca="false">IFERROR(INDEX(値リスト!$G$25:$G$29,MATCH(C271,値リスト!$H$25:$H$29,0)),"")</f>
        <v>itemId</v>
      </c>
      <c r="E271" s="13" t="s">
        <v>585</v>
      </c>
      <c r="F271" s="98"/>
      <c r="G271" s="101"/>
      <c r="H271" s="13"/>
      <c r="I271" s="12" t="s">
        <v>37</v>
      </c>
      <c r="J271" s="1" t="str">
        <f aca="false">IFERROR(INDEX(値リスト!$G$3:$G$11,MATCH(I271,値リスト!$H$3:$H$11,0)),"")</f>
        <v>raw</v>
      </c>
      <c r="K271" s="1" t="n">
        <v>1</v>
      </c>
      <c r="L271" s="1" t="s">
        <v>1243</v>
      </c>
      <c r="N271" s="97" t="s">
        <v>975</v>
      </c>
    </row>
    <row r="272" customFormat="false" ht="15.75" hidden="false" customHeight="true" outlineLevel="0" collapsed="false">
      <c r="A272" s="14" t="s">
        <v>887</v>
      </c>
      <c r="B272" s="13" t="n">
        <v>2</v>
      </c>
      <c r="C272" s="98" t="s">
        <v>129</v>
      </c>
      <c r="D272" s="101" t="str">
        <f aca="false">IFERROR(INDEX(値リスト!$G$25:$G$29,MATCH(C272,値リスト!$H$25:$H$29,0)),"")</f>
        <v>itemId</v>
      </c>
      <c r="E272" s="13" t="s">
        <v>638</v>
      </c>
      <c r="F272" s="98"/>
      <c r="G272" s="101"/>
      <c r="H272" s="13"/>
      <c r="I272" s="12" t="s">
        <v>65</v>
      </c>
      <c r="J272" s="1" t="str">
        <f aca="false">IFERROR(INDEX(値リスト!$G$3:$G$11,MATCH(I272,値リスト!$H$3:$H$11,0)),"")</f>
        <v>dissolve</v>
      </c>
      <c r="K272" s="1" t="n">
        <v>1</v>
      </c>
      <c r="L272" s="12" t="s">
        <v>1244</v>
      </c>
      <c r="N272" s="97" t="s">
        <v>975</v>
      </c>
    </row>
    <row r="273" customFormat="false" ht="15.75" hidden="false" customHeight="true" outlineLevel="0" collapsed="false">
      <c r="A273" s="14" t="s">
        <v>887</v>
      </c>
      <c r="B273" s="13" t="n">
        <v>3</v>
      </c>
      <c r="C273" s="98" t="s">
        <v>129</v>
      </c>
      <c r="D273" s="101" t="str">
        <f aca="false">IFERROR(INDEX(値リスト!$G$25:$G$29,MATCH(C273,値リスト!$H$25:$H$29,0)),"")</f>
        <v>itemId</v>
      </c>
      <c r="E273" s="13" t="s">
        <v>634</v>
      </c>
      <c r="F273" s="98"/>
      <c r="G273" s="101"/>
      <c r="H273" s="13"/>
      <c r="I273" s="12" t="s">
        <v>37</v>
      </c>
      <c r="J273" s="1" t="str">
        <f aca="false">IFERROR(INDEX(値リスト!$G$3:$G$11,MATCH(I273,値リスト!$H$3:$H$11,0)),"")</f>
        <v>raw</v>
      </c>
      <c r="K273" s="1" t="n">
        <v>1</v>
      </c>
      <c r="L273" s="12" t="s">
        <v>1245</v>
      </c>
      <c r="N273" s="97" t="s">
        <v>975</v>
      </c>
    </row>
    <row r="274" customFormat="false" ht="15.75" hidden="false" customHeight="true" outlineLevel="0" collapsed="false">
      <c r="A274" s="14" t="s">
        <v>887</v>
      </c>
      <c r="B274" s="13" t="n">
        <v>4</v>
      </c>
      <c r="C274" s="98" t="s">
        <v>129</v>
      </c>
      <c r="D274" s="101" t="str">
        <f aca="false">IFERROR(INDEX(値リスト!$G$25:$G$29,MATCH(C274,値リスト!$H$25:$H$29,0)),"")</f>
        <v>itemId</v>
      </c>
      <c r="E274" s="13" t="s">
        <v>604</v>
      </c>
      <c r="F274" s="98"/>
      <c r="G274" s="101"/>
      <c r="H274" s="13"/>
      <c r="I274" s="12" t="s">
        <v>37</v>
      </c>
      <c r="J274" s="1" t="str">
        <f aca="false">IFERROR(INDEX(値リスト!$G$3:$G$11,MATCH(I274,値リスト!$H$3:$H$11,0)),"")</f>
        <v>raw</v>
      </c>
      <c r="K274" s="1" t="n">
        <v>1</v>
      </c>
      <c r="L274" s="12" t="s">
        <v>1246</v>
      </c>
      <c r="N274" s="97" t="s">
        <v>975</v>
      </c>
    </row>
    <row r="275" customFormat="false" ht="15.75" hidden="false" customHeight="true" outlineLevel="0" collapsed="false">
      <c r="A275" s="14" t="s">
        <v>887</v>
      </c>
      <c r="B275" s="13" t="n">
        <v>5</v>
      </c>
      <c r="C275" s="98" t="s">
        <v>136</v>
      </c>
      <c r="D275" s="101" t="str">
        <f aca="false">IFERROR(INDEX(値リスト!$G$25:$G$29,MATCH(C275,値リスト!$H$25:$H$29,0)),"")</f>
        <v>effectId</v>
      </c>
      <c r="E275" s="13" t="s">
        <v>97</v>
      </c>
      <c r="F275" s="98"/>
      <c r="G275" s="101"/>
      <c r="H275" s="13"/>
      <c r="I275" s="12" t="s">
        <v>37</v>
      </c>
      <c r="J275" s="1" t="str">
        <f aca="false">IFERROR(INDEX(値リスト!$G$3:$G$11,MATCH(I275,値リスト!$H$3:$H$11,0)),"")</f>
        <v>raw</v>
      </c>
      <c r="K275" s="1" t="n">
        <v>1</v>
      </c>
      <c r="L275" s="12" t="s">
        <v>1247</v>
      </c>
      <c r="N275" s="97" t="s">
        <v>975</v>
      </c>
    </row>
    <row r="276" customFormat="false" ht="15.75" hidden="false" customHeight="true" outlineLevel="0" collapsed="false"/>
    <row r="277" customFormat="false" ht="15.75" hidden="false" customHeight="true" outlineLevel="0" collapsed="false">
      <c r="A277" s="14" t="s">
        <v>891</v>
      </c>
      <c r="B277" s="13" t="n">
        <v>1</v>
      </c>
      <c r="C277" s="98" t="s">
        <v>129</v>
      </c>
      <c r="D277" s="101" t="str">
        <f aca="false">IFERROR(INDEX(値リスト!$G$25:$G$29,MATCH(C277,値リスト!$H$25:$H$29,0)),"")</f>
        <v>itemId</v>
      </c>
      <c r="E277" s="13" t="s">
        <v>666</v>
      </c>
      <c r="F277" s="98"/>
      <c r="G277" s="101"/>
      <c r="H277" s="13"/>
      <c r="I277" s="12" t="s">
        <v>37</v>
      </c>
      <c r="J277" s="1" t="str">
        <f aca="false">IFERROR(INDEX(値リスト!$G$3:$G$11,MATCH(I277,値リスト!$H$3:$H$11,0)),"")</f>
        <v>raw</v>
      </c>
      <c r="K277" s="1" t="n">
        <v>1</v>
      </c>
      <c r="L277" s="1" t="s">
        <v>1248</v>
      </c>
      <c r="N277" s="97" t="s">
        <v>975</v>
      </c>
    </row>
    <row r="278" customFormat="false" ht="15.75" hidden="false" customHeight="true" outlineLevel="0" collapsed="false">
      <c r="A278" s="14" t="s">
        <v>891</v>
      </c>
      <c r="B278" s="13" t="n">
        <v>2</v>
      </c>
      <c r="C278" s="98" t="s">
        <v>136</v>
      </c>
      <c r="D278" s="101" t="str">
        <f aca="false">IFERROR(INDEX(値リスト!$G$25:$G$29,MATCH(C278,値リスト!$H$25:$H$29,0)),"")</f>
        <v>effectId</v>
      </c>
      <c r="E278" s="13" t="s">
        <v>119</v>
      </c>
      <c r="F278" s="98"/>
      <c r="G278" s="101"/>
      <c r="H278" s="13"/>
      <c r="I278" s="12" t="s">
        <v>68</v>
      </c>
      <c r="J278" s="1" t="str">
        <f aca="false">IFERROR(INDEX(値リスト!$G$3:$G$11,MATCH(I278,値リスト!$H$3:$H$11,0)),"")</f>
        <v>distill</v>
      </c>
      <c r="K278" s="1" t="n">
        <v>1</v>
      </c>
      <c r="L278" s="12" t="s">
        <v>1249</v>
      </c>
      <c r="N278" s="97" t="s">
        <v>975</v>
      </c>
    </row>
    <row r="279" customFormat="false" ht="15.75" hidden="false" customHeight="true" outlineLevel="0" collapsed="false">
      <c r="A279" s="14" t="s">
        <v>891</v>
      </c>
      <c r="B279" s="13" t="n">
        <v>3</v>
      </c>
      <c r="C279" s="98" t="s">
        <v>129</v>
      </c>
      <c r="D279" s="101" t="str">
        <f aca="false">IFERROR(INDEX(値リスト!$G$25:$G$29,MATCH(C279,値リスト!$H$25:$H$29,0)),"")</f>
        <v>itemId</v>
      </c>
      <c r="E279" s="13" t="s">
        <v>626</v>
      </c>
      <c r="F279" s="98"/>
      <c r="G279" s="101"/>
      <c r="H279" s="13"/>
      <c r="I279" s="12" t="s">
        <v>37</v>
      </c>
      <c r="J279" s="1" t="str">
        <f aca="false">IFERROR(INDEX(値リスト!$G$3:$G$11,MATCH(I279,値リスト!$H$3:$H$11,0)),"")</f>
        <v>raw</v>
      </c>
      <c r="K279" s="1" t="n">
        <v>1</v>
      </c>
      <c r="L279" s="12" t="s">
        <v>1250</v>
      </c>
      <c r="N279" s="97" t="s">
        <v>975</v>
      </c>
    </row>
    <row r="280" customFormat="false" ht="15.75" hidden="false" customHeight="true" outlineLevel="0" collapsed="false">
      <c r="A280" s="14" t="s">
        <v>891</v>
      </c>
      <c r="B280" s="13" t="n">
        <v>4</v>
      </c>
      <c r="C280" s="98" t="s">
        <v>129</v>
      </c>
      <c r="D280" s="101" t="str">
        <f aca="false">IFERROR(INDEX(値リスト!$G$25:$G$29,MATCH(C280,値リスト!$H$25:$H$29,0)),"")</f>
        <v>itemId</v>
      </c>
      <c r="E280" s="13" t="s">
        <v>582</v>
      </c>
      <c r="F280" s="98"/>
      <c r="G280" s="101"/>
      <c r="H280" s="13"/>
      <c r="I280" s="12" t="s">
        <v>37</v>
      </c>
      <c r="J280" s="1" t="str">
        <f aca="false">IFERROR(INDEX(値リスト!$G$3:$G$11,MATCH(I280,値リスト!$H$3:$H$11,0)),"")</f>
        <v>raw</v>
      </c>
      <c r="K280" s="1" t="n">
        <v>1</v>
      </c>
      <c r="L280" s="12" t="s">
        <v>1251</v>
      </c>
      <c r="N280" s="97" t="s">
        <v>975</v>
      </c>
    </row>
    <row r="281" customFormat="false" ht="15.75" hidden="false" customHeight="true" outlineLevel="0" collapsed="false">
      <c r="A281" s="14" t="s">
        <v>891</v>
      </c>
      <c r="B281" s="13" t="n">
        <v>5</v>
      </c>
      <c r="C281" s="98" t="s">
        <v>140</v>
      </c>
      <c r="D281" s="101" t="str">
        <f aca="false">IFERROR(INDEX(値リスト!$G$25:$G$29,MATCH(C281,値リスト!$H$25:$H$29,0)),"")</f>
        <v>reactionId</v>
      </c>
      <c r="E281" s="13" t="s">
        <v>152</v>
      </c>
      <c r="F281" s="98"/>
      <c r="G281" s="101"/>
      <c r="H281" s="13"/>
      <c r="I281" s="12" t="s">
        <v>37</v>
      </c>
      <c r="J281" s="1" t="str">
        <f aca="false">IFERROR(INDEX(値リスト!$G$3:$G$11,MATCH(I281,値リスト!$H$3:$H$11,0)),"")</f>
        <v>raw</v>
      </c>
      <c r="K281" s="1" t="n">
        <v>1</v>
      </c>
      <c r="L281" s="12" t="s">
        <v>1252</v>
      </c>
      <c r="N281" s="97" t="s">
        <v>975</v>
      </c>
    </row>
    <row r="282" customFormat="false" ht="15.75" hidden="false" customHeight="true" outlineLevel="0" collapsed="false"/>
    <row r="283" customFormat="false" ht="15.75" hidden="false" customHeight="true" outlineLevel="0" collapsed="false">
      <c r="A283" s="14" t="s">
        <v>894</v>
      </c>
      <c r="B283" s="13" t="n">
        <v>1</v>
      </c>
      <c r="C283" s="98" t="s">
        <v>129</v>
      </c>
      <c r="D283" s="101" t="str">
        <f aca="false">IFERROR(INDEX(値リスト!$G$25:$G$29,MATCH(C283,値リスト!$H$25:$H$29,0)),"")</f>
        <v>itemId</v>
      </c>
      <c r="E283" s="13" t="s">
        <v>585</v>
      </c>
      <c r="F283" s="98"/>
      <c r="G283" s="101"/>
      <c r="H283" s="13"/>
      <c r="I283" s="12" t="s">
        <v>37</v>
      </c>
      <c r="J283" s="1" t="str">
        <f aca="false">IFERROR(INDEX(値リスト!$G$3:$G$11,MATCH(I283,値リスト!$H$3:$H$11,0)),"")</f>
        <v>raw</v>
      </c>
      <c r="K283" s="1" t="n">
        <v>1</v>
      </c>
      <c r="L283" s="1" t="s">
        <v>1253</v>
      </c>
      <c r="N283" s="97" t="s">
        <v>975</v>
      </c>
    </row>
    <row r="284" customFormat="false" ht="15.75" hidden="false" customHeight="true" outlineLevel="0" collapsed="false">
      <c r="A284" s="14" t="s">
        <v>894</v>
      </c>
      <c r="B284" s="13" t="n">
        <v>2</v>
      </c>
      <c r="C284" s="98" t="s">
        <v>136</v>
      </c>
      <c r="D284" s="101" t="str">
        <f aca="false">IFERROR(INDEX(値リスト!$G$25:$G$29,MATCH(C284,値リスト!$H$25:$H$29,0)),"")</f>
        <v>effectId</v>
      </c>
      <c r="E284" s="13" t="s">
        <v>71</v>
      </c>
      <c r="F284" s="98"/>
      <c r="G284" s="101"/>
      <c r="H284" s="13"/>
      <c r="I284" s="12" t="s">
        <v>68</v>
      </c>
      <c r="J284" s="1" t="str">
        <f aca="false">IFERROR(INDEX(値リスト!$G$3:$G$11,MATCH(I284,値リスト!$H$3:$H$11,0)),"")</f>
        <v>distill</v>
      </c>
      <c r="K284" s="1" t="n">
        <v>1</v>
      </c>
      <c r="L284" s="12" t="s">
        <v>1242</v>
      </c>
      <c r="N284" s="97" t="s">
        <v>975</v>
      </c>
    </row>
    <row r="285" customFormat="false" ht="15.75" hidden="false" customHeight="true" outlineLevel="0" collapsed="false">
      <c r="A285" s="14" t="s">
        <v>894</v>
      </c>
      <c r="B285" s="13" t="n">
        <v>3</v>
      </c>
      <c r="C285" s="98" t="s">
        <v>129</v>
      </c>
      <c r="D285" s="101" t="str">
        <f aca="false">IFERROR(INDEX(値リスト!$G$25:$G$29,MATCH(C285,値リスト!$H$25:$H$29,0)),"")</f>
        <v>itemId</v>
      </c>
      <c r="E285" s="13" t="s">
        <v>670</v>
      </c>
      <c r="F285" s="98"/>
      <c r="G285" s="101"/>
      <c r="H285" s="13"/>
      <c r="I285" s="12" t="s">
        <v>37</v>
      </c>
      <c r="J285" s="1" t="str">
        <f aca="false">IFERROR(INDEX(値リスト!$G$3:$G$11,MATCH(I285,値リスト!$H$3:$H$11,0)),"")</f>
        <v>raw</v>
      </c>
      <c r="K285" s="1" t="n">
        <v>1</v>
      </c>
      <c r="L285" s="12" t="s">
        <v>1254</v>
      </c>
      <c r="N285" s="97" t="s">
        <v>975</v>
      </c>
    </row>
    <row r="286" customFormat="false" ht="15.75" hidden="false" customHeight="true" outlineLevel="0" collapsed="false">
      <c r="A286" s="14" t="s">
        <v>894</v>
      </c>
      <c r="B286" s="13" t="n">
        <v>4</v>
      </c>
      <c r="C286" s="98" t="s">
        <v>136</v>
      </c>
      <c r="D286" s="101" t="str">
        <f aca="false">IFERROR(INDEX(値リスト!$G$25:$G$29,MATCH(C286,値リスト!$H$25:$H$29,0)),"")</f>
        <v>effectId</v>
      </c>
      <c r="E286" s="13" t="s">
        <v>109</v>
      </c>
      <c r="F286" s="98"/>
      <c r="G286" s="101"/>
      <c r="H286" s="13"/>
      <c r="I286" s="12" t="s">
        <v>37</v>
      </c>
      <c r="J286" s="1" t="str">
        <f aca="false">IFERROR(INDEX(値リスト!$G$3:$G$11,MATCH(I286,値リスト!$H$3:$H$11,0)),"")</f>
        <v>raw</v>
      </c>
      <c r="K286" s="1" t="n">
        <v>1</v>
      </c>
      <c r="L286" s="12" t="s">
        <v>1255</v>
      </c>
      <c r="N286" s="97" t="s">
        <v>975</v>
      </c>
    </row>
    <row r="287" customFormat="false" ht="15.75" hidden="false" customHeight="true" outlineLevel="0" collapsed="false">
      <c r="A287" s="14" t="s">
        <v>894</v>
      </c>
      <c r="B287" s="13" t="n">
        <v>5</v>
      </c>
      <c r="C287" s="98" t="s">
        <v>129</v>
      </c>
      <c r="D287" s="101" t="str">
        <f aca="false">IFERROR(INDEX(値リスト!$G$25:$G$29,MATCH(C287,値リスト!$H$25:$H$29,0)),"")</f>
        <v>itemId</v>
      </c>
      <c r="E287" s="13" t="s">
        <v>630</v>
      </c>
      <c r="F287" s="98"/>
      <c r="G287" s="101"/>
      <c r="H287" s="13"/>
      <c r="I287" s="12" t="s">
        <v>37</v>
      </c>
      <c r="J287" s="1" t="str">
        <f aca="false">IFERROR(INDEX(値リスト!$G$3:$G$11,MATCH(I287,値リスト!$H$3:$H$11,0)),"")</f>
        <v>raw</v>
      </c>
      <c r="K287" s="1" t="n">
        <v>1</v>
      </c>
      <c r="L287" s="12" t="s">
        <v>1256</v>
      </c>
      <c r="N287" s="97" t="s">
        <v>975</v>
      </c>
    </row>
    <row r="288" customFormat="false" ht="15.75" hidden="false" customHeight="true" outlineLevel="0" collapsed="false"/>
    <row r="289" customFormat="false" ht="15.75" hidden="false" customHeight="true" outlineLevel="0" collapsed="false">
      <c r="A289" s="14" t="s">
        <v>897</v>
      </c>
      <c r="B289" s="13" t="n">
        <v>1</v>
      </c>
      <c r="C289" s="98" t="s">
        <v>129</v>
      </c>
      <c r="D289" s="101" t="str">
        <f aca="false">IFERROR(INDEX(値リスト!$G$25:$G$29,MATCH(C289,値リスト!$H$25:$H$29,0)),"")</f>
        <v>itemId</v>
      </c>
      <c r="E289" s="13" t="s">
        <v>674</v>
      </c>
      <c r="F289" s="98"/>
      <c r="G289" s="101"/>
      <c r="H289" s="13"/>
      <c r="I289" s="12" t="s">
        <v>37</v>
      </c>
      <c r="J289" s="1" t="str">
        <f aca="false">IFERROR(INDEX(値リスト!$G$3:$G$11,MATCH(I289,値リスト!$H$3:$H$11,0)),"")</f>
        <v>raw</v>
      </c>
      <c r="K289" s="1" t="n">
        <v>1</v>
      </c>
      <c r="L289" s="1" t="s">
        <v>1257</v>
      </c>
      <c r="N289" s="97" t="s">
        <v>975</v>
      </c>
    </row>
    <row r="290" customFormat="false" ht="15.75" hidden="false" customHeight="true" outlineLevel="0" collapsed="false">
      <c r="A290" s="14" t="s">
        <v>897</v>
      </c>
      <c r="B290" s="13" t="n">
        <v>2</v>
      </c>
      <c r="C290" s="98" t="s">
        <v>136</v>
      </c>
      <c r="D290" s="101" t="str">
        <f aca="false">IFERROR(INDEX(値リスト!$G$25:$G$29,MATCH(C290,値リスト!$H$25:$H$29,0)),"")</f>
        <v>effectId</v>
      </c>
      <c r="E290" s="13" t="s">
        <v>79</v>
      </c>
      <c r="F290" s="98"/>
      <c r="G290" s="101"/>
      <c r="H290" s="13"/>
      <c r="I290" s="12" t="s">
        <v>45</v>
      </c>
      <c r="J290" s="1" t="str">
        <f aca="false">IFERROR(INDEX(値リスト!$G$3:$G$11,MATCH(I290,値リスト!$H$3:$H$11,0)),"")</f>
        <v>ferment</v>
      </c>
      <c r="K290" s="1" t="n">
        <v>1</v>
      </c>
      <c r="L290" s="12" t="s">
        <v>1258</v>
      </c>
      <c r="N290" s="97" t="s">
        <v>975</v>
      </c>
    </row>
    <row r="291" customFormat="false" ht="15.75" hidden="false" customHeight="true" outlineLevel="0" collapsed="false">
      <c r="A291" s="14" t="s">
        <v>897</v>
      </c>
      <c r="B291" s="13" t="n">
        <v>3</v>
      </c>
      <c r="C291" s="98" t="s">
        <v>129</v>
      </c>
      <c r="D291" s="101" t="str">
        <f aca="false">IFERROR(INDEX(値リスト!$G$25:$G$29,MATCH(C291,値リスト!$H$25:$H$29,0)),"")</f>
        <v>itemId</v>
      </c>
      <c r="E291" s="13" t="s">
        <v>596</v>
      </c>
      <c r="F291" s="98"/>
      <c r="G291" s="101"/>
      <c r="H291" s="13"/>
      <c r="I291" s="12" t="s">
        <v>37</v>
      </c>
      <c r="J291" s="1" t="str">
        <f aca="false">IFERROR(INDEX(値リスト!$G$3:$G$11,MATCH(I291,値リスト!$H$3:$H$11,0)),"")</f>
        <v>raw</v>
      </c>
      <c r="K291" s="1" t="n">
        <v>1</v>
      </c>
      <c r="L291" s="12" t="s">
        <v>1259</v>
      </c>
      <c r="N291" s="97" t="s">
        <v>975</v>
      </c>
    </row>
    <row r="292" customFormat="false" ht="15.75" hidden="false" customHeight="true" outlineLevel="0" collapsed="false">
      <c r="A292" s="14" t="s">
        <v>897</v>
      </c>
      <c r="B292" s="13" t="n">
        <v>4</v>
      </c>
      <c r="C292" s="98" t="s">
        <v>129</v>
      </c>
      <c r="D292" s="101" t="str">
        <f aca="false">IFERROR(INDEX(値リスト!$G$25:$G$29,MATCH(C292,値リスト!$H$25:$H$29,0)),"")</f>
        <v>itemId</v>
      </c>
      <c r="E292" s="13" t="s">
        <v>670</v>
      </c>
      <c r="F292" s="98"/>
      <c r="G292" s="101"/>
      <c r="H292" s="13"/>
      <c r="I292" s="12" t="s">
        <v>37</v>
      </c>
      <c r="J292" s="1" t="str">
        <f aca="false">IFERROR(INDEX(値リスト!$G$3:$G$11,MATCH(I292,値リスト!$H$3:$H$11,0)),"")</f>
        <v>raw</v>
      </c>
      <c r="K292" s="1" t="n">
        <v>1</v>
      </c>
      <c r="L292" s="12" t="s">
        <v>1260</v>
      </c>
      <c r="N292" s="97" t="s">
        <v>975</v>
      </c>
    </row>
    <row r="293" customFormat="false" ht="15.75" hidden="false" customHeight="true" outlineLevel="0" collapsed="false">
      <c r="A293" s="14" t="s">
        <v>897</v>
      </c>
      <c r="B293" s="13" t="n">
        <v>5</v>
      </c>
      <c r="C293" s="98" t="s">
        <v>129</v>
      </c>
      <c r="D293" s="101" t="str">
        <f aca="false">IFERROR(INDEX(値リスト!$G$25:$G$29,MATCH(C293,値リスト!$H$25:$H$29,0)),"")</f>
        <v>itemId</v>
      </c>
      <c r="E293" s="13" t="s">
        <v>604</v>
      </c>
      <c r="F293" s="98"/>
      <c r="G293" s="101"/>
      <c r="H293" s="13"/>
      <c r="I293" s="12" t="s">
        <v>37</v>
      </c>
      <c r="J293" s="1" t="str">
        <f aca="false">IFERROR(INDEX(値リスト!$G$3:$G$11,MATCH(I293,値リスト!$H$3:$H$11,0)),"")</f>
        <v>raw</v>
      </c>
      <c r="K293" s="1" t="n">
        <v>1</v>
      </c>
      <c r="L293" s="12" t="s">
        <v>1230</v>
      </c>
      <c r="N293" s="97" t="s">
        <v>975</v>
      </c>
    </row>
    <row r="294" customFormat="false" ht="15.75" hidden="false" customHeight="true" outlineLevel="0" collapsed="false"/>
    <row r="295" customFormat="false" ht="15.75" hidden="false" customHeight="true" outlineLevel="0" collapsed="false">
      <c r="A295" s="14" t="s">
        <v>900</v>
      </c>
      <c r="B295" s="13" t="n">
        <v>1</v>
      </c>
      <c r="C295" s="98" t="s">
        <v>129</v>
      </c>
      <c r="D295" s="101" t="str">
        <f aca="false">IFERROR(INDEX(値リスト!$G$25:$G$29,MATCH(C295,値リスト!$H$25:$H$29,0)),"")</f>
        <v>itemId</v>
      </c>
      <c r="E295" s="13" t="s">
        <v>678</v>
      </c>
      <c r="F295" s="98"/>
      <c r="G295" s="101"/>
      <c r="H295" s="13"/>
      <c r="I295" s="12" t="s">
        <v>37</v>
      </c>
      <c r="J295" s="1" t="str">
        <f aca="false">IFERROR(INDEX(値リスト!$G$3:$G$11,MATCH(I295,値リスト!$H$3:$H$11,0)),"")</f>
        <v>raw</v>
      </c>
      <c r="K295" s="1" t="n">
        <v>1</v>
      </c>
      <c r="L295" s="1" t="s">
        <v>1261</v>
      </c>
      <c r="N295" s="97" t="s">
        <v>125</v>
      </c>
    </row>
    <row r="296" customFormat="false" ht="15.75" hidden="false" customHeight="true" outlineLevel="0" collapsed="false">
      <c r="A296" s="14" t="s">
        <v>900</v>
      </c>
      <c r="B296" s="13" t="n">
        <v>2</v>
      </c>
      <c r="C296" s="98" t="s">
        <v>129</v>
      </c>
      <c r="D296" s="101" t="str">
        <f aca="false">IFERROR(INDEX(値リスト!$G$25:$G$29,MATCH(C296,値リスト!$H$25:$H$29,0)),"")</f>
        <v>itemId</v>
      </c>
      <c r="E296" s="13" t="s">
        <v>666</v>
      </c>
      <c r="F296" s="98"/>
      <c r="G296" s="101"/>
      <c r="H296" s="13"/>
      <c r="I296" s="12" t="s">
        <v>37</v>
      </c>
      <c r="J296" s="1" t="str">
        <f aca="false">IFERROR(INDEX(値リスト!$G$3:$G$11,MATCH(I296,値リスト!$H$3:$H$11,0)),"")</f>
        <v>raw</v>
      </c>
      <c r="K296" s="1" t="n">
        <v>1</v>
      </c>
      <c r="L296" s="12" t="s">
        <v>1262</v>
      </c>
      <c r="N296" s="97" t="s">
        <v>125</v>
      </c>
    </row>
    <row r="297" customFormat="false" ht="15.75" hidden="false" customHeight="true" outlineLevel="0" collapsed="false">
      <c r="A297" s="14" t="s">
        <v>900</v>
      </c>
      <c r="B297" s="13" t="n">
        <v>3</v>
      </c>
      <c r="C297" s="98" t="s">
        <v>136</v>
      </c>
      <c r="D297" s="101" t="str">
        <f aca="false">IFERROR(INDEX(値リスト!$G$25:$G$29,MATCH(C297,値リスト!$H$25:$H$29,0)),"")</f>
        <v>effectId</v>
      </c>
      <c r="E297" s="13" t="s">
        <v>97</v>
      </c>
      <c r="F297" s="98"/>
      <c r="G297" s="101"/>
      <c r="H297" s="13"/>
      <c r="I297" s="12" t="s">
        <v>65</v>
      </c>
      <c r="J297" s="1" t="str">
        <f aca="false">IFERROR(INDEX(値リスト!$G$3:$G$11,MATCH(I297,値リスト!$H$3:$H$11,0)),"")</f>
        <v>dissolve</v>
      </c>
      <c r="K297" s="1" t="n">
        <v>1</v>
      </c>
      <c r="L297" s="12" t="s">
        <v>1263</v>
      </c>
      <c r="N297" s="97" t="s">
        <v>125</v>
      </c>
    </row>
    <row r="298" customFormat="false" ht="15.75" hidden="false" customHeight="true" outlineLevel="0" collapsed="false">
      <c r="A298" s="14" t="s">
        <v>900</v>
      </c>
      <c r="B298" s="13" t="n">
        <v>4</v>
      </c>
      <c r="C298" s="98" t="s">
        <v>129</v>
      </c>
      <c r="D298" s="101" t="str">
        <f aca="false">IFERROR(INDEX(値リスト!$G$25:$G$29,MATCH(C298,値リスト!$H$25:$H$29,0)),"")</f>
        <v>itemId</v>
      </c>
      <c r="E298" s="13" t="s">
        <v>626</v>
      </c>
      <c r="F298" s="98"/>
      <c r="G298" s="101"/>
      <c r="H298" s="13"/>
      <c r="I298" s="12" t="s">
        <v>37</v>
      </c>
      <c r="J298" s="1" t="str">
        <f aca="false">IFERROR(INDEX(値リスト!$G$3:$G$11,MATCH(I298,値リスト!$H$3:$H$11,0)),"")</f>
        <v>raw</v>
      </c>
      <c r="K298" s="1" t="n">
        <v>1</v>
      </c>
      <c r="L298" s="12" t="s">
        <v>1264</v>
      </c>
      <c r="N298" s="97" t="s">
        <v>125</v>
      </c>
    </row>
    <row r="299" customFormat="false" ht="15.75" hidden="false" customHeight="true" outlineLevel="0" collapsed="false">
      <c r="A299" s="14" t="s">
        <v>900</v>
      </c>
      <c r="B299" s="13" t="n">
        <v>5</v>
      </c>
      <c r="C299" s="98" t="s">
        <v>129</v>
      </c>
      <c r="D299" s="101" t="str">
        <f aca="false">IFERROR(INDEX(値リスト!$G$25:$G$29,MATCH(C299,値リスト!$H$25:$H$29,0)),"")</f>
        <v>itemId</v>
      </c>
      <c r="E299" s="13" t="s">
        <v>604</v>
      </c>
      <c r="F299" s="98"/>
      <c r="G299" s="101"/>
      <c r="H299" s="13"/>
      <c r="I299" s="12" t="s">
        <v>37</v>
      </c>
      <c r="J299" s="1" t="str">
        <f aca="false">IFERROR(INDEX(値リスト!$G$3:$G$11,MATCH(I299,値リスト!$H$3:$H$11,0)),"")</f>
        <v>raw</v>
      </c>
      <c r="K299" s="1" t="n">
        <v>1</v>
      </c>
      <c r="L299" s="12" t="s">
        <v>1265</v>
      </c>
      <c r="N299" s="97" t="s">
        <v>125</v>
      </c>
    </row>
    <row r="300" customFormat="false" ht="15.75" hidden="false" customHeight="true" outlineLevel="0" collapsed="false"/>
    <row r="301" customFormat="false" ht="15.75" hidden="false" customHeight="true" outlineLevel="0" collapsed="false">
      <c r="A301" s="14" t="s">
        <v>903</v>
      </c>
      <c r="B301" s="13" t="n">
        <v>1</v>
      </c>
      <c r="C301" s="98" t="s">
        <v>129</v>
      </c>
      <c r="D301" s="101" t="str">
        <f aca="false">IFERROR(INDEX(値リスト!$G$25:$G$29,MATCH(C301,値リスト!$H$25:$H$29,0)),"")</f>
        <v>itemId</v>
      </c>
      <c r="E301" s="13" t="s">
        <v>686</v>
      </c>
      <c r="F301" s="98"/>
      <c r="G301" s="101"/>
      <c r="H301" s="13"/>
      <c r="I301" s="12" t="s">
        <v>37</v>
      </c>
      <c r="J301" s="1" t="str">
        <f aca="false">IFERROR(INDEX(値リスト!$G$3:$G$11,MATCH(I301,値リスト!$H$3:$H$11,0)),"")</f>
        <v>raw</v>
      </c>
      <c r="K301" s="1" t="n">
        <v>1</v>
      </c>
      <c r="L301" s="1" t="s">
        <v>1266</v>
      </c>
      <c r="N301" s="97" t="s">
        <v>125</v>
      </c>
    </row>
    <row r="302" customFormat="false" ht="15.75" hidden="false" customHeight="true" outlineLevel="0" collapsed="false">
      <c r="A302" s="14" t="s">
        <v>903</v>
      </c>
      <c r="B302" s="13" t="n">
        <v>2</v>
      </c>
      <c r="C302" s="98" t="s">
        <v>136</v>
      </c>
      <c r="D302" s="101" t="str">
        <f aca="false">IFERROR(INDEX(値リスト!$G$25:$G$29,MATCH(C302,値リスト!$H$25:$H$29,0)),"")</f>
        <v>effectId</v>
      </c>
      <c r="E302" s="13" t="s">
        <v>109</v>
      </c>
      <c r="F302" s="98"/>
      <c r="G302" s="101"/>
      <c r="H302" s="13"/>
      <c r="I302" s="12" t="s">
        <v>29</v>
      </c>
      <c r="J302" s="1" t="str">
        <f aca="false">IFERROR(INDEX(値リスト!$G$3:$G$11,MATCH(I302,値リスト!$H$3:$H$11,0)),"")</f>
        <v>dry</v>
      </c>
      <c r="K302" s="1" t="n">
        <v>1</v>
      </c>
      <c r="L302" s="12" t="s">
        <v>1267</v>
      </c>
      <c r="N302" s="97" t="s">
        <v>125</v>
      </c>
    </row>
    <row r="303" customFormat="false" ht="15.75" hidden="false" customHeight="true" outlineLevel="0" collapsed="false">
      <c r="A303" s="14" t="s">
        <v>903</v>
      </c>
      <c r="B303" s="13" t="n">
        <v>3</v>
      </c>
      <c r="C303" s="98" t="s">
        <v>129</v>
      </c>
      <c r="D303" s="101" t="str">
        <f aca="false">IFERROR(INDEX(値リスト!$G$25:$G$29,MATCH(C303,値リスト!$H$25:$H$29,0)),"")</f>
        <v>itemId</v>
      </c>
      <c r="E303" s="13" t="s">
        <v>658</v>
      </c>
      <c r="F303" s="98"/>
      <c r="G303" s="101"/>
      <c r="H303" s="13"/>
      <c r="I303" s="12" t="s">
        <v>37</v>
      </c>
      <c r="J303" s="1" t="str">
        <f aca="false">IFERROR(INDEX(値リスト!$G$3:$G$11,MATCH(I303,値リスト!$H$3:$H$11,0)),"")</f>
        <v>raw</v>
      </c>
      <c r="K303" s="1" t="n">
        <v>1</v>
      </c>
      <c r="L303" s="12" t="s">
        <v>1135</v>
      </c>
      <c r="N303" s="97" t="s">
        <v>125</v>
      </c>
    </row>
    <row r="304" customFormat="false" ht="15.75" hidden="false" customHeight="true" outlineLevel="0" collapsed="false">
      <c r="A304" s="14" t="s">
        <v>903</v>
      </c>
      <c r="B304" s="13" t="n">
        <v>4</v>
      </c>
      <c r="C304" s="98" t="s">
        <v>140</v>
      </c>
      <c r="D304" s="101" t="str">
        <f aca="false">IFERROR(INDEX(値リスト!$G$25:$G$29,MATCH(C304,値リスト!$H$25:$H$29,0)),"")</f>
        <v>reactionId</v>
      </c>
      <c r="E304" s="13" t="s">
        <v>146</v>
      </c>
      <c r="F304" s="98"/>
      <c r="G304" s="101"/>
      <c r="H304" s="13"/>
      <c r="I304" s="12" t="s">
        <v>37</v>
      </c>
      <c r="J304" s="1" t="str">
        <f aca="false">IFERROR(INDEX(値リスト!$G$3:$G$11,MATCH(I304,値リスト!$H$3:$H$11,0)),"")</f>
        <v>raw</v>
      </c>
      <c r="K304" s="1" t="n">
        <v>1</v>
      </c>
      <c r="L304" s="12" t="s">
        <v>1268</v>
      </c>
      <c r="N304" s="97" t="s">
        <v>125</v>
      </c>
    </row>
    <row r="305" customFormat="false" ht="15.75" hidden="false" customHeight="true" outlineLevel="0" collapsed="false">
      <c r="A305" s="14" t="s">
        <v>903</v>
      </c>
      <c r="B305" s="13" t="n">
        <v>5</v>
      </c>
      <c r="C305" s="98" t="s">
        <v>129</v>
      </c>
      <c r="D305" s="101" t="str">
        <f aca="false">IFERROR(INDEX(値リスト!$G$25:$G$29,MATCH(C305,値リスト!$H$25:$H$29,0)),"")</f>
        <v>itemId</v>
      </c>
      <c r="E305" s="13" t="s">
        <v>670</v>
      </c>
      <c r="F305" s="98"/>
      <c r="G305" s="101"/>
      <c r="H305" s="13"/>
      <c r="I305" s="12" t="s">
        <v>37</v>
      </c>
      <c r="J305" s="1" t="str">
        <f aca="false">IFERROR(INDEX(値リスト!$G$3:$G$11,MATCH(I305,値リスト!$H$3:$H$11,0)),"")</f>
        <v>raw</v>
      </c>
      <c r="K305" s="1" t="n">
        <v>1</v>
      </c>
      <c r="L305" s="12" t="s">
        <v>1269</v>
      </c>
      <c r="N305" s="97" t="s">
        <v>125</v>
      </c>
    </row>
    <row r="306" customFormat="false" ht="15.75" hidden="false" customHeight="true" outlineLevel="0" collapsed="false"/>
    <row r="307" customFormat="false" ht="15.75" hidden="false" customHeight="true" outlineLevel="0" collapsed="false">
      <c r="A307" s="14" t="s">
        <v>906</v>
      </c>
      <c r="B307" s="13" t="n">
        <v>1</v>
      </c>
      <c r="C307" s="98" t="s">
        <v>129</v>
      </c>
      <c r="D307" s="101" t="str">
        <f aca="false">IFERROR(INDEX(値リスト!$G$25:$G$29,MATCH(C307,値リスト!$H$25:$H$29,0)),"")</f>
        <v>itemId</v>
      </c>
      <c r="E307" s="13" t="s">
        <v>585</v>
      </c>
      <c r="F307" s="98"/>
      <c r="G307" s="101"/>
      <c r="H307" s="13"/>
      <c r="I307" s="12" t="s">
        <v>37</v>
      </c>
      <c r="J307" s="1" t="str">
        <f aca="false">IFERROR(INDEX(値リスト!$G$3:$G$11,MATCH(I307,値リスト!$H$3:$H$11,0)),"")</f>
        <v>raw</v>
      </c>
      <c r="K307" s="1" t="n">
        <v>1</v>
      </c>
      <c r="L307" s="1" t="s">
        <v>1270</v>
      </c>
      <c r="N307" s="97" t="s">
        <v>975</v>
      </c>
    </row>
    <row r="308" customFormat="false" ht="15.75" hidden="false" customHeight="true" outlineLevel="0" collapsed="false">
      <c r="A308" s="14" t="s">
        <v>906</v>
      </c>
      <c r="B308" s="13" t="n">
        <v>2</v>
      </c>
      <c r="C308" s="98" t="s">
        <v>129</v>
      </c>
      <c r="D308" s="101" t="str">
        <f aca="false">IFERROR(INDEX(値リスト!$G$25:$G$29,MATCH(C308,値リスト!$H$25:$H$29,0)),"")</f>
        <v>itemId</v>
      </c>
      <c r="E308" s="13" t="s">
        <v>662</v>
      </c>
      <c r="F308" s="98"/>
      <c r="G308" s="101"/>
      <c r="H308" s="13"/>
      <c r="I308" s="12" t="s">
        <v>37</v>
      </c>
      <c r="J308" s="1" t="str">
        <f aca="false">IFERROR(INDEX(値リスト!$G$3:$G$11,MATCH(I308,値リスト!$H$3:$H$11,0)),"")</f>
        <v>raw</v>
      </c>
      <c r="K308" s="1" t="n">
        <v>1</v>
      </c>
      <c r="L308" s="12" t="s">
        <v>1271</v>
      </c>
      <c r="N308" s="97" t="s">
        <v>975</v>
      </c>
    </row>
    <row r="309" customFormat="false" ht="15.75" hidden="false" customHeight="true" outlineLevel="0" collapsed="false">
      <c r="A309" s="14" t="s">
        <v>906</v>
      </c>
      <c r="B309" s="13" t="n">
        <v>3</v>
      </c>
      <c r="C309" s="98" t="s">
        <v>136</v>
      </c>
      <c r="D309" s="101" t="str">
        <f aca="false">IFERROR(INDEX(値リスト!$G$25:$G$29,MATCH(C309,値リスト!$H$25:$H$29,0)),"")</f>
        <v>effectId</v>
      </c>
      <c r="E309" s="13" t="s">
        <v>71</v>
      </c>
      <c r="F309" s="98"/>
      <c r="G309" s="101"/>
      <c r="H309" s="13"/>
      <c r="I309" s="12" t="s">
        <v>68</v>
      </c>
      <c r="J309" s="1" t="str">
        <f aca="false">IFERROR(INDEX(値リスト!$G$3:$G$11,MATCH(I309,値リスト!$H$3:$H$11,0)),"")</f>
        <v>distill</v>
      </c>
      <c r="K309" s="1" t="n">
        <v>1</v>
      </c>
      <c r="L309" s="12" t="s">
        <v>1272</v>
      </c>
      <c r="N309" s="97" t="s">
        <v>975</v>
      </c>
    </row>
    <row r="310" customFormat="false" ht="15.75" hidden="false" customHeight="true" outlineLevel="0" collapsed="false">
      <c r="A310" s="14" t="s">
        <v>906</v>
      </c>
      <c r="B310" s="13" t="n">
        <v>4</v>
      </c>
      <c r="C310" s="98" t="s">
        <v>129</v>
      </c>
      <c r="D310" s="101" t="str">
        <f aca="false">IFERROR(INDEX(値リスト!$G$25:$G$29,MATCH(C310,値リスト!$H$25:$H$29,0)),"")</f>
        <v>itemId</v>
      </c>
      <c r="E310" s="13" t="s">
        <v>670</v>
      </c>
      <c r="F310" s="98"/>
      <c r="G310" s="101"/>
      <c r="H310" s="13"/>
      <c r="I310" s="12" t="s">
        <v>37</v>
      </c>
      <c r="J310" s="1" t="str">
        <f aca="false">IFERROR(INDEX(値リスト!$G$3:$G$11,MATCH(I310,値リスト!$H$3:$H$11,0)),"")</f>
        <v>raw</v>
      </c>
      <c r="K310" s="1" t="n">
        <v>1</v>
      </c>
      <c r="L310" s="12" t="s">
        <v>1273</v>
      </c>
      <c r="N310" s="97" t="s">
        <v>975</v>
      </c>
    </row>
    <row r="311" customFormat="false" ht="15.75" hidden="false" customHeight="true" outlineLevel="0" collapsed="false">
      <c r="A311" s="14" t="s">
        <v>906</v>
      </c>
      <c r="B311" s="13" t="n">
        <v>5</v>
      </c>
      <c r="C311" s="98" t="s">
        <v>129</v>
      </c>
      <c r="D311" s="101" t="str">
        <f aca="false">IFERROR(INDEX(値リスト!$G$25:$G$29,MATCH(C311,値リスト!$H$25:$H$29,0)),"")</f>
        <v>itemId</v>
      </c>
      <c r="E311" s="13" t="s">
        <v>604</v>
      </c>
      <c r="F311" s="98"/>
      <c r="G311" s="101"/>
      <c r="H311" s="13"/>
      <c r="I311" s="12" t="s">
        <v>37</v>
      </c>
      <c r="J311" s="1" t="str">
        <f aca="false">IFERROR(INDEX(値リスト!$G$3:$G$11,MATCH(I311,値リスト!$H$3:$H$11,0)),"")</f>
        <v>raw</v>
      </c>
      <c r="K311" s="1" t="n">
        <v>1</v>
      </c>
      <c r="L311" s="12" t="s">
        <v>1274</v>
      </c>
      <c r="N311" s="97" t="s">
        <v>975</v>
      </c>
    </row>
    <row r="312" customFormat="false" ht="15.75" hidden="false" customHeight="true" outlineLevel="0" collapsed="false"/>
    <row r="313" customFormat="false" ht="15.75" hidden="false" customHeight="true" outlineLevel="0" collapsed="false">
      <c r="A313" s="14" t="s">
        <v>909</v>
      </c>
      <c r="B313" s="13" t="n">
        <v>1</v>
      </c>
      <c r="C313" s="98" t="s">
        <v>136</v>
      </c>
      <c r="D313" s="101" t="str">
        <f aca="false">IFERROR(INDEX(値リスト!$G$25:$G$29,MATCH(C313,値リスト!$H$25:$H$29,0)),"")</f>
        <v>effectId</v>
      </c>
      <c r="E313" s="13" t="s">
        <v>115</v>
      </c>
      <c r="F313" s="98"/>
      <c r="G313" s="101"/>
      <c r="H313" s="13"/>
      <c r="I313" s="12" t="s">
        <v>65</v>
      </c>
      <c r="J313" s="1" t="str">
        <f aca="false">IFERROR(INDEX(値リスト!$G$3:$G$11,MATCH(I313,値リスト!$H$3:$H$11,0)),"")</f>
        <v>dissolve</v>
      </c>
      <c r="K313" s="1" t="n">
        <v>1</v>
      </c>
      <c r="L313" s="12" t="s">
        <v>1275</v>
      </c>
      <c r="N313" s="97" t="s">
        <v>125</v>
      </c>
    </row>
    <row r="314" customFormat="false" ht="15.75" hidden="false" customHeight="true" outlineLevel="0" collapsed="false">
      <c r="A314" s="14" t="s">
        <v>909</v>
      </c>
      <c r="B314" s="13" t="n">
        <v>2</v>
      </c>
      <c r="C314" s="98" t="s">
        <v>129</v>
      </c>
      <c r="D314" s="101" t="str">
        <f aca="false">IFERROR(INDEX(値リスト!$G$25:$G$29,MATCH(C314,値リスト!$H$25:$H$29,0)),"")</f>
        <v>itemId</v>
      </c>
      <c r="E314" s="13" t="s">
        <v>638</v>
      </c>
      <c r="F314" s="98"/>
      <c r="G314" s="101"/>
      <c r="H314" s="13"/>
      <c r="I314" s="12" t="s">
        <v>37</v>
      </c>
      <c r="J314" s="1" t="str">
        <f aca="false">IFERROR(INDEX(値リスト!$G$3:$G$11,MATCH(I314,値リスト!$H$3:$H$11,0)),"")</f>
        <v>raw</v>
      </c>
      <c r="K314" s="1" t="n">
        <v>1</v>
      </c>
      <c r="L314" s="12" t="s">
        <v>1276</v>
      </c>
      <c r="N314" s="97" t="s">
        <v>125</v>
      </c>
    </row>
    <row r="315" customFormat="false" ht="15.75" hidden="false" customHeight="true" outlineLevel="0" collapsed="false">
      <c r="A315" s="14" t="s">
        <v>909</v>
      </c>
      <c r="B315" s="13" t="n">
        <v>3</v>
      </c>
      <c r="C315" s="98" t="s">
        <v>129</v>
      </c>
      <c r="D315" s="101" t="str">
        <f aca="false">IFERROR(INDEX(値リスト!$G$25:$G$29,MATCH(C315,値リスト!$H$25:$H$29,0)),"")</f>
        <v>itemId</v>
      </c>
      <c r="E315" s="13" t="s">
        <v>678</v>
      </c>
      <c r="F315" s="98"/>
      <c r="G315" s="101"/>
      <c r="H315" s="13"/>
      <c r="I315" s="12" t="s">
        <v>37</v>
      </c>
      <c r="J315" s="1" t="str">
        <f aca="false">IFERROR(INDEX(値リスト!$G$3:$G$11,MATCH(I315,値リスト!$H$3:$H$11,0)),"")</f>
        <v>raw</v>
      </c>
      <c r="K315" s="1" t="n">
        <v>1</v>
      </c>
      <c r="L315" s="12" t="s">
        <v>1277</v>
      </c>
      <c r="N315" s="97" t="s">
        <v>125</v>
      </c>
    </row>
    <row r="316" customFormat="false" ht="15.75" hidden="false" customHeight="true" outlineLevel="0" collapsed="false">
      <c r="A316" s="14" t="s">
        <v>909</v>
      </c>
      <c r="B316" s="13" t="n">
        <v>4</v>
      </c>
      <c r="C316" s="98" t="s">
        <v>129</v>
      </c>
      <c r="D316" s="101" t="str">
        <f aca="false">IFERROR(INDEX(値リスト!$G$25:$G$29,MATCH(C316,値リスト!$H$25:$H$29,0)),"")</f>
        <v>itemId</v>
      </c>
      <c r="E316" s="13" t="s">
        <v>604</v>
      </c>
      <c r="F316" s="98"/>
      <c r="G316" s="101"/>
      <c r="H316" s="13"/>
      <c r="I316" s="12" t="s">
        <v>37</v>
      </c>
      <c r="J316" s="1" t="str">
        <f aca="false">IFERROR(INDEX(値リスト!$G$3:$G$11,MATCH(I316,値リスト!$H$3:$H$11,0)),"")</f>
        <v>raw</v>
      </c>
      <c r="K316" s="1" t="n">
        <v>1</v>
      </c>
      <c r="L316" s="12" t="s">
        <v>1278</v>
      </c>
      <c r="N316" s="97" t="s">
        <v>125</v>
      </c>
    </row>
    <row r="317" customFormat="false" ht="15.75" hidden="false" customHeight="true" outlineLevel="0" collapsed="false"/>
    <row r="318" customFormat="false" ht="15.75" hidden="false" customHeight="true" outlineLevel="0" collapsed="false">
      <c r="A318" s="14" t="s">
        <v>912</v>
      </c>
      <c r="B318" s="13" t="n">
        <v>1</v>
      </c>
      <c r="C318" s="98" t="s">
        <v>129</v>
      </c>
      <c r="D318" s="101" t="str">
        <f aca="false">IFERROR(INDEX(値リスト!$G$25:$G$29,MATCH(C318,値リスト!$H$25:$H$29,0)),"")</f>
        <v>itemId</v>
      </c>
      <c r="E318" s="13" t="s">
        <v>577</v>
      </c>
      <c r="F318" s="98"/>
      <c r="G318" s="101"/>
      <c r="H318" s="13"/>
      <c r="I318" s="12" t="s">
        <v>37</v>
      </c>
      <c r="J318" s="1" t="str">
        <f aca="false">IFERROR(INDEX(値リスト!$G$3:$G$11,MATCH(I318,値リスト!$H$3:$H$11,0)),"")</f>
        <v>raw</v>
      </c>
      <c r="K318" s="1" t="n">
        <v>1</v>
      </c>
      <c r="L318" s="12" t="s">
        <v>1279</v>
      </c>
      <c r="N318" s="97" t="s">
        <v>975</v>
      </c>
    </row>
    <row r="319" customFormat="false" ht="15.75" hidden="false" customHeight="true" outlineLevel="0" collapsed="false">
      <c r="A319" s="14" t="s">
        <v>912</v>
      </c>
      <c r="B319" s="13" t="n">
        <v>2</v>
      </c>
      <c r="C319" s="98" t="s">
        <v>129</v>
      </c>
      <c r="D319" s="101" t="str">
        <f aca="false">IFERROR(INDEX(値リスト!$G$25:$G$29,MATCH(C319,値リスト!$H$25:$H$29,0)),"")</f>
        <v>itemId</v>
      </c>
      <c r="E319" s="13" t="s">
        <v>638</v>
      </c>
      <c r="F319" s="98"/>
      <c r="G319" s="101"/>
      <c r="H319" s="13"/>
      <c r="I319" s="12" t="s">
        <v>65</v>
      </c>
      <c r="J319" s="1" t="str">
        <f aca="false">IFERROR(INDEX(値リスト!$G$3:$G$11,MATCH(I319,値リスト!$H$3:$H$11,0)),"")</f>
        <v>dissolve</v>
      </c>
      <c r="K319" s="1" t="n">
        <v>1</v>
      </c>
      <c r="L319" s="12" t="s">
        <v>1280</v>
      </c>
      <c r="N319" s="97" t="s">
        <v>975</v>
      </c>
    </row>
    <row r="320" customFormat="false" ht="15.75" hidden="false" customHeight="true" outlineLevel="0" collapsed="false">
      <c r="A320" s="14" t="s">
        <v>912</v>
      </c>
      <c r="B320" s="13" t="n">
        <v>3</v>
      </c>
      <c r="C320" s="98" t="s">
        <v>136</v>
      </c>
      <c r="D320" s="101" t="str">
        <f aca="false">IFERROR(INDEX(値リスト!$G$25:$G$29,MATCH(C320,値リスト!$H$25:$H$29,0)),"")</f>
        <v>effectId</v>
      </c>
      <c r="E320" s="13" t="s">
        <v>97</v>
      </c>
      <c r="F320" s="98"/>
      <c r="G320" s="101"/>
      <c r="H320" s="13"/>
      <c r="I320" s="12" t="s">
        <v>37</v>
      </c>
      <c r="J320" s="1" t="str">
        <f aca="false">IFERROR(INDEX(値リスト!$G$3:$G$11,MATCH(I320,値リスト!$H$3:$H$11,0)),"")</f>
        <v>raw</v>
      </c>
      <c r="K320" s="1" t="n">
        <v>1</v>
      </c>
      <c r="L320" s="12" t="s">
        <v>1281</v>
      </c>
      <c r="N320" s="97" t="s">
        <v>975</v>
      </c>
    </row>
    <row r="321" customFormat="false" ht="15.75" hidden="false" customHeight="true" outlineLevel="0" collapsed="false">
      <c r="A321" s="14" t="s">
        <v>912</v>
      </c>
      <c r="B321" s="13" t="n">
        <v>4</v>
      </c>
      <c r="C321" s="98" t="s">
        <v>129</v>
      </c>
      <c r="D321" s="101" t="str">
        <f aca="false">IFERROR(INDEX(値リスト!$G$25:$G$29,MATCH(C321,値リスト!$H$25:$H$29,0)),"")</f>
        <v>itemId</v>
      </c>
      <c r="E321" s="13" t="s">
        <v>609</v>
      </c>
      <c r="F321" s="98"/>
      <c r="G321" s="101"/>
      <c r="H321" s="13"/>
      <c r="I321" s="12" t="s">
        <v>37</v>
      </c>
      <c r="J321" s="1" t="str">
        <f aca="false">IFERROR(INDEX(値リスト!$G$3:$G$11,MATCH(I321,値リスト!$H$3:$H$11,0)),"")</f>
        <v>raw</v>
      </c>
      <c r="K321" s="1" t="n">
        <v>1</v>
      </c>
      <c r="L321" s="12" t="s">
        <v>1282</v>
      </c>
      <c r="N321" s="97" t="s">
        <v>975</v>
      </c>
    </row>
    <row r="322" customFormat="false" ht="15.75" hidden="false" customHeight="true" outlineLevel="0" collapsed="false"/>
    <row r="323" customFormat="false" ht="15.75" hidden="false" customHeight="true" outlineLevel="0" collapsed="false">
      <c r="A323" s="14" t="s">
        <v>915</v>
      </c>
      <c r="B323" s="13" t="n">
        <v>1</v>
      </c>
      <c r="C323" s="98" t="s">
        <v>131</v>
      </c>
      <c r="D323" s="101" t="str">
        <f aca="false">IFERROR(INDEX(値リスト!$G$25:$G$29,MATCH(C323,値リスト!$H$25:$H$29,0)),"")</f>
        <v>categoryId</v>
      </c>
      <c r="E323" s="13" t="s">
        <v>8</v>
      </c>
      <c r="F323" s="98"/>
      <c r="G323" s="101"/>
      <c r="H323" s="13"/>
      <c r="I323" s="12" t="s">
        <v>21</v>
      </c>
      <c r="J323" s="1" t="str">
        <f aca="false">IFERROR(INDEX(値リスト!$G$3:$G$11,MATCH(I323,値リスト!$H$3:$H$11,0)),"")</f>
        <v>boil</v>
      </c>
      <c r="K323" s="1" t="n">
        <v>1</v>
      </c>
      <c r="L323" s="12" t="s">
        <v>1283</v>
      </c>
      <c r="N323" s="97" t="s">
        <v>975</v>
      </c>
    </row>
    <row r="324" customFormat="false" ht="15.75" hidden="false" customHeight="true" outlineLevel="0" collapsed="false">
      <c r="A324" s="14" t="s">
        <v>915</v>
      </c>
      <c r="B324" s="13" t="n">
        <v>2</v>
      </c>
      <c r="C324" s="98" t="s">
        <v>129</v>
      </c>
      <c r="D324" s="101" t="str">
        <f aca="false">IFERROR(INDEX(値リスト!$G$25:$G$29,MATCH(C324,値リスト!$H$25:$H$29,0)),"")</f>
        <v>itemId</v>
      </c>
      <c r="E324" s="13" t="s">
        <v>646</v>
      </c>
      <c r="F324" s="98"/>
      <c r="G324" s="101"/>
      <c r="H324" s="13"/>
      <c r="I324" s="12" t="s">
        <v>37</v>
      </c>
      <c r="J324" s="1" t="str">
        <f aca="false">IFERROR(INDEX(値リスト!$G$3:$G$11,MATCH(I324,値リスト!$H$3:$H$11,0)),"")</f>
        <v>raw</v>
      </c>
      <c r="K324" s="1" t="n">
        <v>1</v>
      </c>
      <c r="L324" s="12" t="s">
        <v>1284</v>
      </c>
      <c r="N324" s="97" t="s">
        <v>975</v>
      </c>
    </row>
    <row r="325" customFormat="false" ht="15.75" hidden="false" customHeight="true" outlineLevel="0" collapsed="false"/>
    <row r="326" customFormat="false" ht="15.75" hidden="false" customHeight="true" outlineLevel="0" collapsed="false">
      <c r="A326" s="14" t="s">
        <v>918</v>
      </c>
      <c r="B326" s="13" t="n">
        <v>1</v>
      </c>
      <c r="C326" s="98" t="s">
        <v>129</v>
      </c>
      <c r="D326" s="101" t="str">
        <f aca="false">IFERROR(INDEX(値リスト!$G$25:$G$29,MATCH(C326,値リスト!$H$25:$H$29,0)),"")</f>
        <v>itemId</v>
      </c>
      <c r="E326" s="13" t="s">
        <v>626</v>
      </c>
      <c r="F326" s="98"/>
      <c r="G326" s="101"/>
      <c r="H326" s="13"/>
      <c r="I326" s="12" t="s">
        <v>13</v>
      </c>
      <c r="J326" s="1" t="str">
        <f aca="false">IFERROR(INDEX(値リスト!$G$3:$G$11,MATCH(I326,値リスト!$H$3:$H$11,0)),"")</f>
        <v>grind</v>
      </c>
      <c r="K326" s="1" t="n">
        <v>1</v>
      </c>
      <c r="L326" s="12" t="s">
        <v>1285</v>
      </c>
      <c r="N326" s="97" t="s">
        <v>975</v>
      </c>
    </row>
    <row r="327" customFormat="false" ht="15.75" hidden="false" customHeight="true" outlineLevel="0" collapsed="false">
      <c r="A327" s="14" t="s">
        <v>918</v>
      </c>
      <c r="B327" s="13" t="n">
        <v>2</v>
      </c>
      <c r="C327" s="98" t="s">
        <v>129</v>
      </c>
      <c r="D327" s="101" t="str">
        <f aca="false">IFERROR(INDEX(値リスト!$G$25:$G$29,MATCH(C327,値リスト!$H$25:$H$29,0)),"")</f>
        <v>itemId</v>
      </c>
      <c r="E327" s="13" t="s">
        <v>654</v>
      </c>
      <c r="F327" s="98"/>
      <c r="G327" s="101"/>
      <c r="H327" s="13"/>
      <c r="I327" s="12" t="s">
        <v>37</v>
      </c>
      <c r="J327" s="1" t="str">
        <f aca="false">IFERROR(INDEX(値リスト!$G$3:$G$11,MATCH(I327,値リスト!$H$3:$H$11,0)),"")</f>
        <v>raw</v>
      </c>
      <c r="K327" s="1" t="n">
        <v>1</v>
      </c>
      <c r="L327" s="12" t="s">
        <v>1286</v>
      </c>
      <c r="N327" s="97" t="s">
        <v>975</v>
      </c>
    </row>
    <row r="328" customFormat="false" ht="15.75" hidden="false" customHeight="true" outlineLevel="0" collapsed="false"/>
    <row r="329" customFormat="false" ht="15.75" hidden="false" customHeight="true" outlineLevel="0" collapsed="false">
      <c r="A329" s="14" t="s">
        <v>921</v>
      </c>
      <c r="B329" s="13" t="n">
        <v>1</v>
      </c>
      <c r="C329" s="98" t="s">
        <v>129</v>
      </c>
      <c r="D329" s="101" t="str">
        <f aca="false">IFERROR(INDEX(値リスト!$G$25:$G$29,MATCH(C329,値リスト!$H$25:$H$29,0)),"")</f>
        <v>itemId</v>
      </c>
      <c r="E329" s="13" t="s">
        <v>650</v>
      </c>
      <c r="F329" s="98"/>
      <c r="G329" s="101"/>
      <c r="H329" s="13"/>
      <c r="I329" s="12" t="s">
        <v>21</v>
      </c>
      <c r="J329" s="1" t="str">
        <f aca="false">IFERROR(INDEX(値リスト!$G$3:$G$11,MATCH(I329,値リスト!$H$3:$H$11,0)),"")</f>
        <v>boil</v>
      </c>
      <c r="K329" s="1" t="n">
        <v>1</v>
      </c>
      <c r="L329" s="12" t="s">
        <v>1287</v>
      </c>
      <c r="N329" s="97" t="s">
        <v>975</v>
      </c>
    </row>
    <row r="330" customFormat="false" ht="15.75" hidden="false" customHeight="true" outlineLevel="0" collapsed="false">
      <c r="A330" s="14" t="s">
        <v>921</v>
      </c>
      <c r="B330" s="13" t="n">
        <v>2</v>
      </c>
      <c r="C330" s="98" t="s">
        <v>129</v>
      </c>
      <c r="D330" s="101" t="str">
        <f aca="false">IFERROR(INDEX(値リスト!$G$25:$G$29,MATCH(C330,値リスト!$H$25:$H$29,0)),"")</f>
        <v>itemId</v>
      </c>
      <c r="E330" s="13" t="s">
        <v>613</v>
      </c>
      <c r="F330" s="98"/>
      <c r="G330" s="101"/>
      <c r="H330" s="13"/>
      <c r="I330" s="12" t="s">
        <v>37</v>
      </c>
      <c r="J330" s="1" t="str">
        <f aca="false">IFERROR(INDEX(値リスト!$G$3:$G$11,MATCH(I330,値リスト!$H$3:$H$11,0)),"")</f>
        <v>raw</v>
      </c>
      <c r="K330" s="1" t="n">
        <v>1</v>
      </c>
      <c r="L330" s="12" t="s">
        <v>1288</v>
      </c>
      <c r="N330" s="97" t="s">
        <v>975</v>
      </c>
    </row>
    <row r="331" customFormat="false" ht="15.75" hidden="false" customHeight="true" outlineLevel="0" collapsed="false"/>
    <row r="332" customFormat="false" ht="15.75" hidden="false" customHeight="true" outlineLevel="0" collapsed="false">
      <c r="A332" s="14" t="s">
        <v>924</v>
      </c>
      <c r="B332" s="13" t="n">
        <v>1</v>
      </c>
      <c r="C332" s="98" t="s">
        <v>129</v>
      </c>
      <c r="D332" s="101" t="str">
        <f aca="false">IFERROR(INDEX(値リスト!$G$25:$G$29,MATCH(C332,値リスト!$H$25:$H$29,0)),"")</f>
        <v>itemId</v>
      </c>
      <c r="E332" s="13" t="s">
        <v>634</v>
      </c>
      <c r="F332" s="98"/>
      <c r="G332" s="101"/>
      <c r="H332" s="13"/>
      <c r="I332" s="12" t="s">
        <v>53</v>
      </c>
      <c r="J332" s="1" t="str">
        <f aca="false">IFERROR(INDEX(値リスト!$G$3:$G$11,MATCH(I332,値リスト!$H$3:$H$11,0)),"")</f>
        <v>burn</v>
      </c>
      <c r="K332" s="1" t="n">
        <v>1</v>
      </c>
      <c r="L332" s="12" t="s">
        <v>1287</v>
      </c>
      <c r="N332" s="97" t="s">
        <v>125</v>
      </c>
    </row>
    <row r="333" customFormat="false" ht="15.75" hidden="false" customHeight="true" outlineLevel="0" collapsed="false">
      <c r="A333" s="14" t="s">
        <v>924</v>
      </c>
      <c r="B333" s="13" t="n">
        <v>2</v>
      </c>
      <c r="C333" s="98" t="s">
        <v>140</v>
      </c>
      <c r="D333" s="101" t="str">
        <f aca="false">IFERROR(INDEX(値リスト!$G$25:$G$29,MATCH(C333,値リスト!$H$25:$H$29,0)),"")</f>
        <v>reactionId</v>
      </c>
      <c r="E333" s="13" t="s">
        <v>132</v>
      </c>
      <c r="F333" s="98"/>
      <c r="G333" s="101"/>
      <c r="H333" s="13"/>
      <c r="I333" s="12" t="s">
        <v>37</v>
      </c>
      <c r="J333" s="1" t="str">
        <f aca="false">IFERROR(INDEX(値リスト!$G$3:$G$11,MATCH(I333,値リスト!$H$3:$H$11,0)),"")</f>
        <v>raw</v>
      </c>
      <c r="K333" s="1" t="n">
        <v>1</v>
      </c>
      <c r="L333" s="12" t="s">
        <v>1289</v>
      </c>
      <c r="N333" s="97" t="s">
        <v>125</v>
      </c>
    </row>
    <row r="334" customFormat="false" ht="15.75" hidden="false" customHeight="true" outlineLevel="0" collapsed="false">
      <c r="A334" s="14" t="s">
        <v>924</v>
      </c>
      <c r="B334" s="13" t="n">
        <v>3</v>
      </c>
      <c r="C334" s="98" t="s">
        <v>129</v>
      </c>
      <c r="D334" s="101" t="str">
        <f aca="false">IFERROR(INDEX(値リスト!$G$25:$G$29,MATCH(C334,値リスト!$H$25:$H$29,0)),"")</f>
        <v>itemId</v>
      </c>
      <c r="E334" s="13" t="s">
        <v>613</v>
      </c>
      <c r="F334" s="98"/>
      <c r="G334" s="101"/>
      <c r="H334" s="13"/>
      <c r="I334" s="12" t="s">
        <v>37</v>
      </c>
      <c r="J334" s="1" t="str">
        <f aca="false">IFERROR(INDEX(値リスト!$G$3:$G$11,MATCH(I334,値リスト!$H$3:$H$11,0)),"")</f>
        <v>raw</v>
      </c>
      <c r="K334" s="1" t="n">
        <v>1</v>
      </c>
      <c r="L334" s="12" t="s">
        <v>1117</v>
      </c>
      <c r="N334" s="97" t="s">
        <v>125</v>
      </c>
    </row>
    <row r="335" customFormat="false" ht="15.75" hidden="false" customHeight="true" outlineLevel="0" collapsed="false"/>
    <row r="336" customFormat="false" ht="15.75" hidden="false" customHeight="true" outlineLevel="0" collapsed="false">
      <c r="A336" s="14" t="s">
        <v>927</v>
      </c>
      <c r="B336" s="13" t="n">
        <v>1</v>
      </c>
      <c r="C336" s="98" t="s">
        <v>136</v>
      </c>
      <c r="D336" s="101" t="str">
        <f aca="false">IFERROR(INDEX(値リスト!$G$25:$G$29,MATCH(C336,値リスト!$H$25:$H$29,0)),"")</f>
        <v>effectId</v>
      </c>
      <c r="E336" s="13" t="s">
        <v>85</v>
      </c>
      <c r="F336" s="98"/>
      <c r="G336" s="101"/>
      <c r="H336" s="13"/>
      <c r="I336" s="12" t="s">
        <v>13</v>
      </c>
      <c r="J336" s="1" t="str">
        <f aca="false">IFERROR(INDEX(値リスト!$G$3:$G$11,MATCH(I336,値リスト!$H$3:$H$11,0)),"")</f>
        <v>grind</v>
      </c>
      <c r="K336" s="1" t="n">
        <v>1</v>
      </c>
      <c r="L336" s="12" t="s">
        <v>1290</v>
      </c>
      <c r="N336" s="97" t="s">
        <v>125</v>
      </c>
    </row>
    <row r="337" customFormat="false" ht="15.75" hidden="false" customHeight="true" outlineLevel="0" collapsed="false">
      <c r="A337" s="14" t="s">
        <v>927</v>
      </c>
      <c r="B337" s="13" t="n">
        <v>2</v>
      </c>
      <c r="C337" s="98" t="s">
        <v>129</v>
      </c>
      <c r="D337" s="101" t="str">
        <f aca="false">IFERROR(INDEX(値リスト!$G$25:$G$29,MATCH(C337,値リスト!$H$25:$H$29,0)),"")</f>
        <v>itemId</v>
      </c>
      <c r="E337" s="13" t="s">
        <v>618</v>
      </c>
      <c r="F337" s="98"/>
      <c r="G337" s="101"/>
      <c r="H337" s="13"/>
      <c r="I337" s="12" t="s">
        <v>37</v>
      </c>
      <c r="J337" s="1" t="str">
        <f aca="false">IFERROR(INDEX(値リスト!$G$3:$G$11,MATCH(I337,値リスト!$H$3:$H$11,0)),"")</f>
        <v>raw</v>
      </c>
      <c r="K337" s="1" t="n">
        <v>1</v>
      </c>
      <c r="L337" s="12" t="s">
        <v>1291</v>
      </c>
      <c r="N337" s="97" t="s">
        <v>125</v>
      </c>
    </row>
    <row r="338" customFormat="false" ht="15.75" hidden="false" customHeight="true" outlineLevel="0" collapsed="false"/>
    <row r="339" customFormat="false" ht="15.75" hidden="false" customHeight="true" outlineLevel="0" collapsed="false">
      <c r="A339" s="14" t="s">
        <v>930</v>
      </c>
      <c r="B339" s="13" t="n">
        <v>1</v>
      </c>
      <c r="C339" s="98" t="s">
        <v>140</v>
      </c>
      <c r="D339" s="101" t="str">
        <f aca="false">IFERROR(INDEX(値リスト!$G$25:$G$29,MATCH(C339,値リスト!$H$25:$H$29,0)),"")</f>
        <v>reactionId</v>
      </c>
      <c r="E339" s="13" t="s">
        <v>132</v>
      </c>
      <c r="F339" s="98"/>
      <c r="G339" s="101"/>
      <c r="H339" s="13"/>
      <c r="I339" s="12" t="s">
        <v>21</v>
      </c>
      <c r="J339" s="1" t="str">
        <f aca="false">IFERROR(INDEX(値リスト!$G$3:$G$11,MATCH(I339,値リスト!$H$3:$H$11,0)),"")</f>
        <v>boil</v>
      </c>
      <c r="K339" s="1" t="n">
        <v>1</v>
      </c>
      <c r="L339" s="12" t="s">
        <v>1287</v>
      </c>
      <c r="N339" s="97" t="s">
        <v>975</v>
      </c>
    </row>
    <row r="340" customFormat="false" ht="15.75" hidden="false" customHeight="true" outlineLevel="0" collapsed="false">
      <c r="A340" s="14" t="s">
        <v>930</v>
      </c>
      <c r="B340" s="13" t="n">
        <v>2</v>
      </c>
      <c r="C340" s="98" t="s">
        <v>129</v>
      </c>
      <c r="D340" s="101" t="str">
        <f aca="false">IFERROR(INDEX(値リスト!$G$25:$G$29,MATCH(C340,値リスト!$H$25:$H$29,0)),"")</f>
        <v>itemId</v>
      </c>
      <c r="E340" s="13" t="s">
        <v>654</v>
      </c>
      <c r="F340" s="98"/>
      <c r="G340" s="101"/>
      <c r="H340" s="13"/>
      <c r="I340" s="12" t="s">
        <v>37</v>
      </c>
      <c r="J340" s="1" t="str">
        <f aca="false">IFERROR(INDEX(値リスト!$G$3:$G$11,MATCH(I340,値リスト!$H$3:$H$11,0)),"")</f>
        <v>raw</v>
      </c>
      <c r="K340" s="1" t="n">
        <v>1</v>
      </c>
      <c r="L340" s="12" t="s">
        <v>1292</v>
      </c>
      <c r="N340" s="97" t="s">
        <v>975</v>
      </c>
    </row>
    <row r="341" customFormat="false" ht="15.75" hidden="false" customHeight="true" outlineLevel="0" collapsed="false"/>
    <row r="342" customFormat="false" ht="15.75" hidden="false" customHeight="true" outlineLevel="0" collapsed="false">
      <c r="A342" s="14" t="s">
        <v>933</v>
      </c>
      <c r="B342" s="13" t="n">
        <v>1</v>
      </c>
      <c r="C342" s="98" t="s">
        <v>129</v>
      </c>
      <c r="D342" s="101" t="str">
        <f aca="false">IFERROR(INDEX(値リスト!$G$25:$G$29,MATCH(C342,値リスト!$H$25:$H$29,0)),"")</f>
        <v>itemId</v>
      </c>
      <c r="E342" s="13" t="s">
        <v>678</v>
      </c>
      <c r="F342" s="98"/>
      <c r="G342" s="101"/>
      <c r="H342" s="13"/>
      <c r="I342" s="12" t="s">
        <v>37</v>
      </c>
      <c r="J342" s="1" t="str">
        <f aca="false">IFERROR(INDEX(値リスト!$G$3:$G$11,MATCH(I342,値リスト!$H$3:$H$11,0)),"")</f>
        <v>raw</v>
      </c>
      <c r="K342" s="1" t="n">
        <v>1</v>
      </c>
      <c r="L342" s="12" t="s">
        <v>1287</v>
      </c>
      <c r="N342" s="97" t="s">
        <v>975</v>
      </c>
    </row>
    <row r="343" customFormat="false" ht="15.75" hidden="false" customHeight="true" outlineLevel="0" collapsed="false">
      <c r="A343" s="14" t="s">
        <v>933</v>
      </c>
      <c r="B343" s="13" t="n">
        <v>2</v>
      </c>
      <c r="C343" s="98" t="s">
        <v>140</v>
      </c>
      <c r="D343" s="101" t="str">
        <f aca="false">IFERROR(INDEX(値リスト!$G$25:$G$29,MATCH(C343,値リスト!$H$25:$H$29,0)),"")</f>
        <v>reactionId</v>
      </c>
      <c r="E343" s="13" t="s">
        <v>137</v>
      </c>
      <c r="F343" s="98"/>
      <c r="G343" s="101"/>
      <c r="H343" s="13"/>
      <c r="I343" s="12" t="s">
        <v>65</v>
      </c>
      <c r="J343" s="1" t="str">
        <f aca="false">IFERROR(INDEX(値リスト!$G$3:$G$11,MATCH(I343,値リスト!$H$3:$H$11,0)),"")</f>
        <v>dissolve</v>
      </c>
      <c r="K343" s="1" t="n">
        <v>1</v>
      </c>
      <c r="L343" s="12" t="s">
        <v>1293</v>
      </c>
      <c r="N343" s="97" t="s">
        <v>975</v>
      </c>
    </row>
    <row r="344" customFormat="false" ht="15.75" hidden="false" customHeight="true" outlineLevel="0" collapsed="false"/>
    <row r="345" customFormat="false" ht="15.75" hidden="false" customHeight="true" outlineLevel="0" collapsed="false">
      <c r="A345" s="14" t="s">
        <v>936</v>
      </c>
      <c r="B345" s="13" t="n">
        <v>1</v>
      </c>
      <c r="C345" s="98" t="s">
        <v>129</v>
      </c>
      <c r="D345" s="101" t="str">
        <f aca="false">IFERROR(INDEX(値リスト!$G$25:$G$29,MATCH(C345,値リスト!$H$25:$H$29,0)),"")</f>
        <v>itemId</v>
      </c>
      <c r="E345" s="13" t="s">
        <v>363</v>
      </c>
      <c r="F345" s="98"/>
      <c r="G345" s="101"/>
      <c r="H345" s="13"/>
      <c r="I345" s="12" t="s">
        <v>13</v>
      </c>
      <c r="J345" s="1" t="str">
        <f aca="false">IFERROR(INDEX(値リスト!$G$3:$G$11,MATCH(I345,値リスト!$H$3:$H$11,0)),"")</f>
        <v>grind</v>
      </c>
      <c r="K345" s="1" t="n">
        <v>1</v>
      </c>
      <c r="L345" s="12" t="s">
        <v>1294</v>
      </c>
      <c r="N345" s="97" t="s">
        <v>125</v>
      </c>
    </row>
    <row r="346" customFormat="false" ht="15.75" hidden="false" customHeight="true" outlineLevel="0" collapsed="false">
      <c r="A346" s="14" t="s">
        <v>936</v>
      </c>
      <c r="B346" s="13" t="n">
        <v>2</v>
      </c>
      <c r="C346" s="98" t="s">
        <v>129</v>
      </c>
      <c r="D346" s="101" t="str">
        <f aca="false">IFERROR(INDEX(値リスト!$G$25:$G$29,MATCH(C346,値リスト!$H$25:$H$29,0)),"")</f>
        <v>itemId</v>
      </c>
      <c r="E346" s="13" t="s">
        <v>618</v>
      </c>
      <c r="F346" s="98"/>
      <c r="G346" s="101"/>
      <c r="H346" s="13"/>
      <c r="I346" s="12" t="s">
        <v>37</v>
      </c>
      <c r="J346" s="1" t="str">
        <f aca="false">IFERROR(INDEX(値リスト!$G$3:$G$11,MATCH(I346,値リスト!$H$3:$H$11,0)),"")</f>
        <v>raw</v>
      </c>
      <c r="K346" s="1" t="n">
        <v>1</v>
      </c>
      <c r="L346" s="12" t="s">
        <v>1295</v>
      </c>
      <c r="N346" s="97" t="s">
        <v>125</v>
      </c>
    </row>
    <row r="347" customFormat="false" ht="15.75" hidden="false" customHeight="true" outlineLevel="0" collapsed="false"/>
    <row r="348" customFormat="false" ht="15.75" hidden="false" customHeight="true" outlineLevel="0" collapsed="false">
      <c r="A348" s="14" t="s">
        <v>939</v>
      </c>
      <c r="B348" s="13" t="n">
        <v>1</v>
      </c>
      <c r="C348" s="98" t="s">
        <v>136</v>
      </c>
      <c r="D348" s="101" t="str">
        <f aca="false">IFERROR(INDEX(値リスト!$G$25:$G$29,MATCH(C348,値リスト!$H$25:$H$29,0)),"")</f>
        <v>effectId</v>
      </c>
      <c r="E348" s="13" t="s">
        <v>76</v>
      </c>
      <c r="F348" s="98"/>
      <c r="G348" s="101"/>
      <c r="H348" s="13"/>
      <c r="I348" s="12" t="s">
        <v>21</v>
      </c>
      <c r="J348" s="1" t="str">
        <f aca="false">IFERROR(INDEX(値リスト!$G$3:$G$11,MATCH(I348,値リスト!$H$3:$H$11,0)),"")</f>
        <v>boil</v>
      </c>
      <c r="K348" s="1" t="n">
        <v>1</v>
      </c>
      <c r="L348" s="12" t="s">
        <v>1287</v>
      </c>
      <c r="N348" s="97" t="s">
        <v>975</v>
      </c>
    </row>
    <row r="349" customFormat="false" ht="15.75" hidden="false" customHeight="true" outlineLevel="0" collapsed="false">
      <c r="A349" s="14" t="s">
        <v>939</v>
      </c>
      <c r="B349" s="13" t="n">
        <v>2</v>
      </c>
      <c r="C349" s="98" t="s">
        <v>129</v>
      </c>
      <c r="D349" s="101" t="str">
        <f aca="false">IFERROR(INDEX(値リスト!$G$25:$G$29,MATCH(C349,値リスト!$H$25:$H$29,0)),"")</f>
        <v>itemId</v>
      </c>
      <c r="E349" s="13" t="s">
        <v>630</v>
      </c>
      <c r="F349" s="98"/>
      <c r="G349" s="101"/>
      <c r="H349" s="13"/>
      <c r="I349" s="12" t="s">
        <v>37</v>
      </c>
      <c r="J349" s="1" t="str">
        <f aca="false">IFERROR(INDEX(値リスト!$G$3:$G$11,MATCH(I349,値リスト!$H$3:$H$11,0)),"")</f>
        <v>raw</v>
      </c>
      <c r="K349" s="1" t="n">
        <v>1</v>
      </c>
      <c r="L349" s="12" t="s">
        <v>1296</v>
      </c>
      <c r="N349" s="97" t="s">
        <v>975</v>
      </c>
    </row>
    <row r="350" customFormat="false" ht="15.75" hidden="false" customHeight="true" outlineLevel="0" collapsed="false">
      <c r="A350" s="14" t="s">
        <v>939</v>
      </c>
      <c r="B350" s="13" t="n">
        <v>3</v>
      </c>
      <c r="C350" s="98" t="s">
        <v>129</v>
      </c>
      <c r="D350" s="101" t="str">
        <f aca="false">IFERROR(INDEX(値リスト!$G$25:$G$29,MATCH(C350,値リスト!$H$25:$H$29,0)),"")</f>
        <v>itemId</v>
      </c>
      <c r="E350" s="13" t="s">
        <v>577</v>
      </c>
      <c r="F350" s="98"/>
      <c r="G350" s="101"/>
      <c r="H350" s="13"/>
      <c r="I350" s="12" t="s">
        <v>37</v>
      </c>
      <c r="J350" s="1" t="str">
        <f aca="false">IFERROR(INDEX(値リスト!$G$3:$G$11,MATCH(I350,値リスト!$H$3:$H$11,0)),"")</f>
        <v>raw</v>
      </c>
      <c r="K350" s="1" t="n">
        <v>1</v>
      </c>
      <c r="L350" s="12" t="s">
        <v>1297</v>
      </c>
      <c r="N350" s="97" t="s">
        <v>975</v>
      </c>
    </row>
    <row r="351" customFormat="false" ht="15.75" hidden="false" customHeight="true" outlineLevel="0" collapsed="false"/>
    <row r="352" customFormat="false" ht="15.75" hidden="false" customHeight="true" outlineLevel="0" collapsed="false">
      <c r="A352" s="14" t="s">
        <v>942</v>
      </c>
      <c r="B352" s="13" t="n">
        <v>1</v>
      </c>
      <c r="C352" s="98" t="s">
        <v>129</v>
      </c>
      <c r="D352" s="101" t="str">
        <f aca="false">IFERROR(INDEX(値リスト!$G$25:$G$29,MATCH(C352,値リスト!$H$25:$H$29,0)),"")</f>
        <v>itemId</v>
      </c>
      <c r="E352" s="13" t="s">
        <v>609</v>
      </c>
      <c r="F352" s="98"/>
      <c r="G352" s="101"/>
      <c r="H352" s="13"/>
      <c r="I352" s="12" t="s">
        <v>37</v>
      </c>
      <c r="J352" s="1" t="str">
        <f aca="false">IFERROR(INDEX(値リスト!$G$3:$G$11,MATCH(I352,値リスト!$H$3:$H$11,0)),"")</f>
        <v>raw</v>
      </c>
      <c r="K352" s="1" t="n">
        <v>1</v>
      </c>
      <c r="L352" s="12" t="s">
        <v>1287</v>
      </c>
      <c r="N352" s="97" t="s">
        <v>125</v>
      </c>
    </row>
    <row r="353" customFormat="false" ht="15.75" hidden="false" customHeight="true" outlineLevel="0" collapsed="false">
      <c r="A353" s="14" t="s">
        <v>942</v>
      </c>
      <c r="B353" s="13" t="n">
        <v>2</v>
      </c>
      <c r="C353" s="98" t="s">
        <v>136</v>
      </c>
      <c r="D353" s="101" t="str">
        <f aca="false">IFERROR(INDEX(値リスト!$G$25:$G$29,MATCH(C353,値リスト!$H$25:$H$29,0)),"")</f>
        <v>effectId</v>
      </c>
      <c r="E353" s="13" t="s">
        <v>71</v>
      </c>
      <c r="F353" s="98"/>
      <c r="G353" s="101"/>
      <c r="H353" s="13"/>
      <c r="I353" s="12" t="s">
        <v>13</v>
      </c>
      <c r="J353" s="1" t="str">
        <f aca="false">IFERROR(INDEX(値リスト!$G$3:$G$11,MATCH(I353,値リスト!$H$3:$H$11,0)),"")</f>
        <v>grind</v>
      </c>
      <c r="K353" s="1" t="n">
        <v>1</v>
      </c>
      <c r="L353" s="12" t="s">
        <v>1298</v>
      </c>
      <c r="N353" s="97" t="s">
        <v>125</v>
      </c>
    </row>
    <row r="354" customFormat="false" ht="15.75" hidden="false" customHeight="true" outlineLevel="0" collapsed="false">
      <c r="A354" s="14" t="s">
        <v>942</v>
      </c>
      <c r="B354" s="13" t="n">
        <v>3</v>
      </c>
      <c r="C354" s="98" t="s">
        <v>129</v>
      </c>
      <c r="D354" s="101" t="str">
        <f aca="false">IFERROR(INDEX(値リスト!$G$25:$G$29,MATCH(C354,値リスト!$H$25:$H$29,0)),"")</f>
        <v>itemId</v>
      </c>
      <c r="E354" s="13" t="s">
        <v>654</v>
      </c>
      <c r="F354" s="98"/>
      <c r="G354" s="101"/>
      <c r="H354" s="13"/>
      <c r="I354" s="12" t="s">
        <v>37</v>
      </c>
      <c r="J354" s="1" t="str">
        <f aca="false">IFERROR(INDEX(値リスト!$G$3:$G$11,MATCH(I354,値リスト!$H$3:$H$11,0)),"")</f>
        <v>raw</v>
      </c>
      <c r="K354" s="1" t="n">
        <v>1</v>
      </c>
      <c r="L354" s="12" t="s">
        <v>1299</v>
      </c>
      <c r="N354" s="97" t="s">
        <v>125</v>
      </c>
    </row>
    <row r="355" customFormat="false" ht="15.75" hidden="false" customHeight="true" outlineLevel="0" collapsed="false"/>
    <row r="356" customFormat="false" ht="15.75" hidden="false" customHeight="true" outlineLevel="0" collapsed="false">
      <c r="A356" s="14" t="s">
        <v>945</v>
      </c>
      <c r="B356" s="13" t="n">
        <v>1</v>
      </c>
      <c r="C356" s="98" t="s">
        <v>136</v>
      </c>
      <c r="D356" s="101" t="str">
        <f aca="false">IFERROR(INDEX(値リスト!$G$25:$G$29,MATCH(C356,値リスト!$H$25:$H$29,0)),"")</f>
        <v>effectId</v>
      </c>
      <c r="E356" s="13" t="s">
        <v>91</v>
      </c>
      <c r="F356" s="98"/>
      <c r="G356" s="101"/>
      <c r="H356" s="13"/>
      <c r="I356" s="12" t="s">
        <v>21</v>
      </c>
      <c r="J356" s="1" t="str">
        <f aca="false">IFERROR(INDEX(値リスト!$G$3:$G$11,MATCH(I356,値リスト!$H$3:$H$11,0)),"")</f>
        <v>boil</v>
      </c>
      <c r="K356" s="1" t="n">
        <v>1</v>
      </c>
      <c r="L356" s="12" t="s">
        <v>1300</v>
      </c>
      <c r="N356" s="97" t="s">
        <v>975</v>
      </c>
    </row>
    <row r="357" customFormat="false" ht="15.75" hidden="false" customHeight="true" outlineLevel="0" collapsed="false">
      <c r="A357" s="14" t="s">
        <v>945</v>
      </c>
      <c r="B357" s="13" t="n">
        <v>2</v>
      </c>
      <c r="C357" s="98" t="s">
        <v>129</v>
      </c>
      <c r="D357" s="101" t="str">
        <f aca="false">IFERROR(INDEX(値リスト!$G$25:$G$29,MATCH(C357,値リスト!$H$25:$H$29,0)),"")</f>
        <v>itemId</v>
      </c>
      <c r="E357" s="13" t="s">
        <v>592</v>
      </c>
      <c r="F357" s="98"/>
      <c r="G357" s="101"/>
      <c r="H357" s="13"/>
      <c r="I357" s="12" t="s">
        <v>37</v>
      </c>
      <c r="J357" s="1" t="str">
        <f aca="false">IFERROR(INDEX(値リスト!$G$3:$G$11,MATCH(I357,値リスト!$H$3:$H$11,0)),"")</f>
        <v>raw</v>
      </c>
      <c r="K357" s="1" t="n">
        <v>1</v>
      </c>
      <c r="L357" s="12" t="s">
        <v>1301</v>
      </c>
      <c r="N357" s="97" t="s">
        <v>975</v>
      </c>
    </row>
    <row r="358" customFormat="false" ht="15.75" hidden="false" customHeight="true" outlineLevel="0" collapsed="false">
      <c r="A358" s="14" t="s">
        <v>945</v>
      </c>
      <c r="B358" s="13" t="n">
        <v>3</v>
      </c>
      <c r="C358" s="98" t="s">
        <v>129</v>
      </c>
      <c r="D358" s="101" t="str">
        <f aca="false">IFERROR(INDEX(値リスト!$G$25:$G$29,MATCH(C358,値リスト!$H$25:$H$29,0)),"")</f>
        <v>itemId</v>
      </c>
      <c r="E358" s="13" t="s">
        <v>622</v>
      </c>
      <c r="F358" s="98"/>
      <c r="G358" s="101"/>
      <c r="H358" s="13"/>
      <c r="I358" s="12" t="s">
        <v>37</v>
      </c>
      <c r="J358" s="1" t="str">
        <f aca="false">IFERROR(INDEX(値リスト!$G$3:$G$11,MATCH(I358,値リスト!$H$3:$H$11,0)),"")</f>
        <v>raw</v>
      </c>
      <c r="K358" s="1" t="n">
        <v>1</v>
      </c>
      <c r="L358" s="12" t="s">
        <v>1302</v>
      </c>
      <c r="N358" s="97" t="s">
        <v>975</v>
      </c>
    </row>
    <row r="359" customFormat="false" ht="15.75" hidden="false" customHeight="true" outlineLevel="0" collapsed="false"/>
    <row r="360" customFormat="false" ht="15.75" hidden="false" customHeight="true" outlineLevel="0" collapsed="false">
      <c r="A360" s="14" t="s">
        <v>948</v>
      </c>
      <c r="B360" s="13" t="n">
        <v>1</v>
      </c>
      <c r="C360" s="98" t="s">
        <v>136</v>
      </c>
      <c r="D360" s="101" t="str">
        <f aca="false">IFERROR(INDEX(値リスト!$G$25:$G$29,MATCH(C360,値リスト!$H$25:$H$29,0)),"")</f>
        <v>effectId</v>
      </c>
      <c r="E360" s="13" t="s">
        <v>85</v>
      </c>
      <c r="F360" s="98"/>
      <c r="G360" s="101"/>
      <c r="H360" s="13"/>
      <c r="I360" s="12" t="s">
        <v>21</v>
      </c>
      <c r="J360" s="1" t="str">
        <f aca="false">IFERROR(INDEX(値リスト!$G$3:$G$11,MATCH(I360,値リスト!$H$3:$H$11,0)),"")</f>
        <v>boil</v>
      </c>
      <c r="K360" s="1" t="n">
        <v>1</v>
      </c>
      <c r="L360" s="12" t="s">
        <v>1287</v>
      </c>
      <c r="N360" s="97" t="s">
        <v>975</v>
      </c>
    </row>
    <row r="361" customFormat="false" ht="15.75" hidden="false" customHeight="true" outlineLevel="0" collapsed="false">
      <c r="A361" s="14" t="s">
        <v>948</v>
      </c>
      <c r="B361" s="13" t="n">
        <v>2</v>
      </c>
      <c r="C361" s="98" t="s">
        <v>129</v>
      </c>
      <c r="D361" s="101" t="str">
        <f aca="false">IFERROR(INDEX(値リスト!$G$25:$G$29,MATCH(C361,値リスト!$H$25:$H$29,0)),"")</f>
        <v>itemId</v>
      </c>
      <c r="E361" s="13" t="s">
        <v>592</v>
      </c>
      <c r="F361" s="98"/>
      <c r="G361" s="101"/>
      <c r="H361" s="13"/>
      <c r="I361" s="12" t="s">
        <v>37</v>
      </c>
      <c r="J361" s="1" t="str">
        <f aca="false">IFERROR(INDEX(値リスト!$G$3:$G$11,MATCH(I361,値リスト!$H$3:$H$11,0)),"")</f>
        <v>raw</v>
      </c>
      <c r="K361" s="1" t="n">
        <v>1</v>
      </c>
      <c r="L361" s="12" t="s">
        <v>1303</v>
      </c>
      <c r="N361" s="97" t="s">
        <v>975</v>
      </c>
    </row>
    <row r="362" customFormat="false" ht="15.75" hidden="false" customHeight="true" outlineLevel="0" collapsed="false"/>
    <row r="363" customFormat="false" ht="15.75" hidden="false" customHeight="true" outlineLevel="0" collapsed="false">
      <c r="A363" s="14" t="s">
        <v>951</v>
      </c>
      <c r="B363" s="13" t="n">
        <v>1</v>
      </c>
      <c r="C363" s="98" t="s">
        <v>136</v>
      </c>
      <c r="D363" s="101" t="str">
        <f aca="false">IFERROR(INDEX(値リスト!$G$25:$G$29,MATCH(C363,値リスト!$H$25:$H$29,0)),"")</f>
        <v>effectId</v>
      </c>
      <c r="E363" s="13" t="s">
        <v>76</v>
      </c>
      <c r="F363" s="98"/>
      <c r="G363" s="101"/>
      <c r="H363" s="13"/>
      <c r="I363" s="12" t="s">
        <v>13</v>
      </c>
      <c r="J363" s="1" t="str">
        <f aca="false">IFERROR(INDEX(値リスト!$G$3:$G$11,MATCH(I363,値リスト!$H$3:$H$11,0)),"")</f>
        <v>grind</v>
      </c>
      <c r="K363" s="1" t="n">
        <v>1</v>
      </c>
      <c r="L363" s="12" t="s">
        <v>1304</v>
      </c>
      <c r="N363" s="97" t="s">
        <v>125</v>
      </c>
    </row>
    <row r="364" customFormat="false" ht="15.75" hidden="false" customHeight="true" outlineLevel="0" collapsed="false">
      <c r="A364" s="14" t="s">
        <v>951</v>
      </c>
      <c r="B364" s="13" t="n">
        <v>2</v>
      </c>
      <c r="C364" s="98" t="s">
        <v>129</v>
      </c>
      <c r="D364" s="101" t="str">
        <f aca="false">IFERROR(INDEX(値リスト!$G$25:$G$29,MATCH(C364,値リスト!$H$25:$H$29,0)),"")</f>
        <v>itemId</v>
      </c>
      <c r="E364" s="13" t="s">
        <v>650</v>
      </c>
      <c r="F364" s="98"/>
      <c r="G364" s="101"/>
      <c r="H364" s="13"/>
      <c r="I364" s="12" t="s">
        <v>37</v>
      </c>
      <c r="J364" s="1" t="str">
        <f aca="false">IFERROR(INDEX(値リスト!$G$3:$G$11,MATCH(I364,値リスト!$H$3:$H$11,0)),"")</f>
        <v>raw</v>
      </c>
      <c r="K364" s="1" t="n">
        <v>1</v>
      </c>
      <c r="L364" s="12" t="s">
        <v>1305</v>
      </c>
      <c r="N364" s="97" t="s">
        <v>125</v>
      </c>
    </row>
    <row r="365" customFormat="false" ht="15.75" hidden="false" customHeight="true" outlineLevel="0" collapsed="false">
      <c r="A365" s="14" t="s">
        <v>951</v>
      </c>
      <c r="B365" s="13" t="n">
        <v>3</v>
      </c>
      <c r="C365" s="98" t="s">
        <v>129</v>
      </c>
      <c r="D365" s="101" t="str">
        <f aca="false">IFERROR(INDEX(値リスト!$G$25:$G$29,MATCH(C365,値リスト!$H$25:$H$29,0)),"")</f>
        <v>itemId</v>
      </c>
      <c r="E365" s="13" t="s">
        <v>609</v>
      </c>
      <c r="F365" s="98"/>
      <c r="G365" s="101"/>
      <c r="H365" s="13"/>
      <c r="I365" s="12" t="s">
        <v>37</v>
      </c>
      <c r="J365" s="1" t="str">
        <f aca="false">IFERROR(INDEX(値リスト!$G$3:$G$11,MATCH(I365,値リスト!$H$3:$H$11,0)),"")</f>
        <v>raw</v>
      </c>
      <c r="K365" s="1" t="n">
        <v>1</v>
      </c>
      <c r="L365" s="12" t="s">
        <v>1306</v>
      </c>
      <c r="N365" s="97" t="s">
        <v>125</v>
      </c>
    </row>
    <row r="366" customFormat="false" ht="15.75" hidden="false" customHeight="true" outlineLevel="0" collapsed="false"/>
    <row r="367" customFormat="false" ht="15.75" hidden="false" customHeight="true" outlineLevel="0" collapsed="false">
      <c r="A367" s="14" t="s">
        <v>954</v>
      </c>
      <c r="B367" s="13" t="n">
        <v>1</v>
      </c>
      <c r="C367" s="98" t="s">
        <v>129</v>
      </c>
      <c r="D367" s="101" t="str">
        <f aca="false">IFERROR(INDEX(値リスト!$G$25:$G$29,MATCH(C367,値リスト!$H$25:$H$29,0)),"")</f>
        <v>itemId</v>
      </c>
      <c r="E367" s="13" t="s">
        <v>674</v>
      </c>
      <c r="F367" s="98"/>
      <c r="G367" s="101"/>
      <c r="H367" s="13"/>
      <c r="I367" s="12" t="s">
        <v>37</v>
      </c>
      <c r="J367" s="1" t="str">
        <f aca="false">IFERROR(INDEX(値リスト!$G$3:$G$11,MATCH(I367,値リスト!$H$3:$H$11,0)),"")</f>
        <v>raw</v>
      </c>
      <c r="K367" s="1" t="n">
        <v>1</v>
      </c>
      <c r="L367" s="12" t="s">
        <v>1287</v>
      </c>
      <c r="N367" s="97" t="s">
        <v>975</v>
      </c>
    </row>
    <row r="368" customFormat="false" ht="15.75" hidden="false" customHeight="true" outlineLevel="0" collapsed="false">
      <c r="A368" s="14" t="s">
        <v>954</v>
      </c>
      <c r="B368" s="13" t="n">
        <v>2</v>
      </c>
      <c r="C368" s="98" t="s">
        <v>131</v>
      </c>
      <c r="D368" s="101" t="str">
        <f aca="false">IFERROR(INDEX(値リスト!$G$25:$G$29,MATCH(C368,値リスト!$H$25:$H$29,0)),"")</f>
        <v>categoryId</v>
      </c>
      <c r="E368" s="13" t="s">
        <v>24</v>
      </c>
      <c r="F368" s="98"/>
      <c r="G368" s="101"/>
      <c r="H368" s="13"/>
      <c r="I368" s="12" t="s">
        <v>68</v>
      </c>
      <c r="J368" s="1" t="str">
        <f aca="false">IFERROR(INDEX(値リスト!$G$3:$G$11,MATCH(I368,値リスト!$H$3:$H$11,0)),"")</f>
        <v>distill</v>
      </c>
      <c r="K368" s="1" t="n">
        <v>1</v>
      </c>
      <c r="L368" s="12" t="s">
        <v>1307</v>
      </c>
      <c r="N368" s="97" t="s">
        <v>975</v>
      </c>
    </row>
    <row r="369" customFormat="false" ht="15.75" hidden="false" customHeight="true" outlineLevel="0" collapsed="false"/>
    <row r="370" customFormat="false" ht="15.75" hidden="false" customHeight="true" outlineLevel="0" collapsed="false">
      <c r="A370" s="14" t="s">
        <v>957</v>
      </c>
      <c r="B370" s="13" t="n">
        <v>1</v>
      </c>
      <c r="C370" s="98" t="s">
        <v>129</v>
      </c>
      <c r="D370" s="101" t="str">
        <f aca="false">IFERROR(INDEX(値リスト!$G$25:$G$29,MATCH(C370,値リスト!$H$25:$H$29,0)),"")</f>
        <v>itemId</v>
      </c>
      <c r="E370" s="13" t="s">
        <v>618</v>
      </c>
      <c r="F370" s="98"/>
      <c r="G370" s="101"/>
      <c r="H370" s="13"/>
      <c r="I370" s="12" t="s">
        <v>37</v>
      </c>
      <c r="J370" s="1" t="str">
        <f aca="false">IFERROR(INDEX(値リスト!$G$3:$G$11,MATCH(I370,値リスト!$H$3:$H$11,0)),"")</f>
        <v>raw</v>
      </c>
      <c r="K370" s="1" t="n">
        <v>1</v>
      </c>
      <c r="L370" s="12" t="s">
        <v>1308</v>
      </c>
      <c r="N370" s="97" t="s">
        <v>125</v>
      </c>
    </row>
    <row r="371" customFormat="false" ht="15.75" hidden="false" customHeight="true" outlineLevel="0" collapsed="false">
      <c r="A371" s="14" t="s">
        <v>957</v>
      </c>
      <c r="B371" s="13" t="n">
        <v>2</v>
      </c>
      <c r="C371" s="98" t="s">
        <v>129</v>
      </c>
      <c r="D371" s="101" t="str">
        <f aca="false">IFERROR(INDEX(値リスト!$G$25:$G$29,MATCH(C371,値リスト!$H$25:$H$29,0)),"")</f>
        <v>itemId</v>
      </c>
      <c r="E371" s="13" t="s">
        <v>630</v>
      </c>
      <c r="F371" s="98"/>
      <c r="G371" s="101"/>
      <c r="H371" s="13"/>
      <c r="I371" s="12" t="s">
        <v>37</v>
      </c>
      <c r="J371" s="1" t="str">
        <f aca="false">IFERROR(INDEX(値リスト!$G$3:$G$11,MATCH(I371,値リスト!$H$3:$H$11,0)),"")</f>
        <v>raw</v>
      </c>
      <c r="K371" s="1" t="n">
        <v>1</v>
      </c>
      <c r="L371" s="12" t="s">
        <v>1309</v>
      </c>
      <c r="N371" s="97" t="s">
        <v>125</v>
      </c>
    </row>
    <row r="372" customFormat="false" ht="15.75" hidden="false" customHeight="true" outlineLevel="0" collapsed="false">
      <c r="A372" s="14" t="s">
        <v>957</v>
      </c>
      <c r="B372" s="13" t="n">
        <v>3</v>
      </c>
      <c r="C372" s="98" t="s">
        <v>129</v>
      </c>
      <c r="D372" s="101" t="str">
        <f aca="false">IFERROR(INDEX(値リスト!$G$25:$G$29,MATCH(C372,値リスト!$H$25:$H$29,0)),"")</f>
        <v>itemId</v>
      </c>
      <c r="E372" s="13" t="s">
        <v>622</v>
      </c>
      <c r="F372" s="98"/>
      <c r="G372" s="101"/>
      <c r="H372" s="13"/>
      <c r="I372" s="12" t="s">
        <v>37</v>
      </c>
      <c r="J372" s="1" t="str">
        <f aca="false">IFERROR(INDEX(値リスト!$G$3:$G$11,MATCH(I372,値リスト!$H$3:$H$11,0)),"")</f>
        <v>raw</v>
      </c>
      <c r="K372" s="1" t="n">
        <v>1</v>
      </c>
      <c r="L372" s="12" t="s">
        <v>1310</v>
      </c>
      <c r="N372" s="97" t="s">
        <v>125</v>
      </c>
    </row>
    <row r="373" customFormat="false" ht="15.75" hidden="false" customHeight="true" outlineLevel="0" collapsed="false"/>
    <row r="374" customFormat="false" ht="15.75" hidden="false" customHeight="true" outlineLevel="0" collapsed="false">
      <c r="A374" s="14" t="s">
        <v>960</v>
      </c>
      <c r="B374" s="13" t="n">
        <v>1</v>
      </c>
      <c r="C374" s="98" t="s">
        <v>129</v>
      </c>
      <c r="D374" s="101" t="str">
        <f aca="false">IFERROR(INDEX(値リスト!$G$25:$G$29,MATCH(C374,値リスト!$H$25:$H$29,0)),"")</f>
        <v>itemId</v>
      </c>
      <c r="E374" s="13" t="s">
        <v>626</v>
      </c>
      <c r="F374" s="98"/>
      <c r="G374" s="101"/>
      <c r="H374" s="13"/>
      <c r="I374" s="12" t="s">
        <v>37</v>
      </c>
      <c r="J374" s="1" t="str">
        <f aca="false">IFERROR(INDEX(値リスト!$G$3:$G$11,MATCH(I374,値リスト!$H$3:$H$11,0)),"")</f>
        <v>raw</v>
      </c>
      <c r="K374" s="1" t="n">
        <v>1</v>
      </c>
      <c r="L374" s="12" t="s">
        <v>1311</v>
      </c>
      <c r="N374" s="97" t="s">
        <v>125</v>
      </c>
    </row>
    <row r="375" customFormat="false" ht="15.75" hidden="false" customHeight="true" outlineLevel="0" collapsed="false">
      <c r="A375" s="14" t="s">
        <v>960</v>
      </c>
      <c r="B375" s="13" t="n">
        <v>2</v>
      </c>
      <c r="C375" s="98" t="s">
        <v>140</v>
      </c>
      <c r="D375" s="101" t="str">
        <f aca="false">IFERROR(INDEX(値リスト!$G$25:$G$29,MATCH(C375,値リスト!$H$25:$H$29,0)),"")</f>
        <v>reactionId</v>
      </c>
      <c r="E375" s="13" t="s">
        <v>137</v>
      </c>
      <c r="F375" s="98"/>
      <c r="G375" s="101"/>
      <c r="H375" s="13"/>
      <c r="I375" s="12" t="s">
        <v>29</v>
      </c>
      <c r="J375" s="1" t="str">
        <f aca="false">IFERROR(INDEX(値リスト!$G$3:$G$11,MATCH(I375,値リスト!$H$3:$H$11,0)),"")</f>
        <v>dry</v>
      </c>
      <c r="K375" s="1" t="n">
        <v>1</v>
      </c>
      <c r="L375" s="12" t="s">
        <v>1312</v>
      </c>
      <c r="N375" s="97" t="s">
        <v>125</v>
      </c>
    </row>
    <row r="376" customFormat="false" ht="15.75" hidden="false" customHeight="true" outlineLevel="0" collapsed="false"/>
    <row r="377" customFormat="false" ht="15.75" hidden="false" customHeight="true" outlineLevel="0" collapsed="false">
      <c r="A377" s="14" t="s">
        <v>963</v>
      </c>
      <c r="B377" s="13" t="n">
        <v>1</v>
      </c>
      <c r="C377" s="98" t="s">
        <v>131</v>
      </c>
      <c r="D377" s="101" t="str">
        <f aca="false">IFERROR(INDEX(値リスト!$G$25:$G$29,MATCH(C377,値リスト!$H$25:$H$29,0)),"")</f>
        <v>categoryId</v>
      </c>
      <c r="E377" s="13" t="s">
        <v>40</v>
      </c>
      <c r="F377" s="98"/>
      <c r="G377" s="101"/>
      <c r="H377" s="13"/>
      <c r="I377" s="12" t="s">
        <v>29</v>
      </c>
      <c r="J377" s="1" t="str">
        <f aca="false">IFERROR(INDEX(値リスト!$G$3:$G$11,MATCH(I377,値リスト!$H$3:$H$11,0)),"")</f>
        <v>dry</v>
      </c>
      <c r="K377" s="1" t="n">
        <v>1</v>
      </c>
      <c r="L377" s="12" t="s">
        <v>1287</v>
      </c>
      <c r="N377" s="97" t="s">
        <v>125</v>
      </c>
    </row>
    <row r="378" customFormat="false" ht="15.75" hidden="false" customHeight="true" outlineLevel="0" collapsed="false">
      <c r="A378" s="14" t="s">
        <v>963</v>
      </c>
      <c r="B378" s="13" t="n">
        <v>2</v>
      </c>
      <c r="C378" s="98" t="s">
        <v>129</v>
      </c>
      <c r="D378" s="101" t="str">
        <f aca="false">IFERROR(INDEX(値リスト!$G$25:$G$29,MATCH(C378,値リスト!$H$25:$H$29,0)),"")</f>
        <v>itemId</v>
      </c>
      <c r="E378" s="13" t="s">
        <v>630</v>
      </c>
      <c r="F378" s="98"/>
      <c r="G378" s="101"/>
      <c r="H378" s="13"/>
      <c r="I378" s="12" t="s">
        <v>37</v>
      </c>
      <c r="J378" s="1" t="str">
        <f aca="false">IFERROR(INDEX(値リスト!$G$3:$G$11,MATCH(I378,値リスト!$H$3:$H$11,0)),"")</f>
        <v>raw</v>
      </c>
      <c r="K378" s="1" t="n">
        <v>1</v>
      </c>
      <c r="L378" s="12" t="s">
        <v>1313</v>
      </c>
      <c r="N378" s="97" t="s">
        <v>125</v>
      </c>
    </row>
    <row r="379" customFormat="false" ht="15.75" hidden="false" customHeight="true" outlineLevel="0" collapsed="false">
      <c r="A379" s="14" t="s">
        <v>963</v>
      </c>
      <c r="B379" s="13" t="n">
        <v>3</v>
      </c>
      <c r="C379" s="98" t="s">
        <v>129</v>
      </c>
      <c r="D379" s="101" t="str">
        <f aca="false">IFERROR(INDEX(値リスト!$G$25:$G$29,MATCH(C379,値リスト!$H$25:$H$29,0)),"")</f>
        <v>itemId</v>
      </c>
      <c r="E379" s="13" t="s">
        <v>600</v>
      </c>
      <c r="F379" s="98"/>
      <c r="G379" s="101"/>
      <c r="H379" s="13"/>
      <c r="I379" s="12" t="s">
        <v>37</v>
      </c>
      <c r="J379" s="1" t="str">
        <f aca="false">IFERROR(INDEX(値リスト!$G$3:$G$11,MATCH(I379,値リスト!$H$3:$H$11,0)),"")</f>
        <v>raw</v>
      </c>
      <c r="K379" s="1" t="n">
        <v>1</v>
      </c>
      <c r="L379" s="12" t="s">
        <v>1314</v>
      </c>
      <c r="N379" s="97" t="s">
        <v>125</v>
      </c>
    </row>
    <row r="380" customFormat="false" ht="15.75" hidden="false" customHeight="true" outlineLevel="0" collapsed="false"/>
    <row r="381" customFormat="false" ht="15.75" hidden="false" customHeight="true" outlineLevel="0" collapsed="false">
      <c r="A381" s="14" t="s">
        <v>966</v>
      </c>
      <c r="B381" s="13" t="n">
        <v>1</v>
      </c>
      <c r="C381" s="98" t="s">
        <v>129</v>
      </c>
      <c r="D381" s="101" t="str">
        <f aca="false">IFERROR(INDEX(値リスト!$G$25:$G$29,MATCH(C381,値リスト!$H$25:$H$29,0)),"")</f>
        <v>itemId</v>
      </c>
      <c r="E381" s="13" t="s">
        <v>600</v>
      </c>
      <c r="F381" s="98"/>
      <c r="G381" s="101"/>
      <c r="H381" s="13"/>
      <c r="I381" s="12" t="s">
        <v>37</v>
      </c>
      <c r="J381" s="1" t="str">
        <f aca="false">IFERROR(INDEX(値リスト!$G$3:$G$11,MATCH(I381,値リスト!$H$3:$H$11,0)),"")</f>
        <v>raw</v>
      </c>
      <c r="K381" s="1" t="n">
        <v>1</v>
      </c>
      <c r="L381" s="12" t="s">
        <v>1287</v>
      </c>
      <c r="N381" s="97" t="s">
        <v>975</v>
      </c>
    </row>
    <row r="382" customFormat="false" ht="15.75" hidden="false" customHeight="true" outlineLevel="0" collapsed="false">
      <c r="A382" s="14" t="s">
        <v>966</v>
      </c>
      <c r="B382" s="13" t="n">
        <v>2</v>
      </c>
      <c r="C382" s="98" t="s">
        <v>140</v>
      </c>
      <c r="D382" s="101" t="str">
        <f aca="false">IFERROR(INDEX(値リスト!$G$25:$G$29,MATCH(C382,値リスト!$H$25:$H$29,0)),"")</f>
        <v>reactionId</v>
      </c>
      <c r="E382" s="13" t="s">
        <v>141</v>
      </c>
      <c r="F382" s="98"/>
      <c r="G382" s="101"/>
      <c r="H382" s="13"/>
      <c r="I382" s="12" t="s">
        <v>65</v>
      </c>
      <c r="J382" s="1" t="str">
        <f aca="false">IFERROR(INDEX(値リスト!$G$3:$G$11,MATCH(I382,値リスト!$H$3:$H$11,0)),"")</f>
        <v>dissolve</v>
      </c>
      <c r="K382" s="1" t="n">
        <v>1</v>
      </c>
      <c r="L382" s="12" t="s">
        <v>1315</v>
      </c>
      <c r="N382" s="97" t="s">
        <v>975</v>
      </c>
    </row>
    <row r="383" customFormat="false" ht="15.75" hidden="false" customHeight="true" outlineLevel="0" collapsed="false"/>
    <row r="384" customFormat="false" ht="15.75" hidden="false" customHeight="true" outlineLevel="0" collapsed="false">
      <c r="A384" s="14" t="s">
        <v>969</v>
      </c>
      <c r="B384" s="13" t="n">
        <v>1</v>
      </c>
      <c r="C384" s="98" t="s">
        <v>131</v>
      </c>
      <c r="D384" s="101" t="str">
        <f aca="false">IFERROR(INDEX(値リスト!$G$25:$G$29,MATCH(C384,値リスト!$H$25:$H$29,0)),"")</f>
        <v>categoryId</v>
      </c>
      <c r="E384" s="13" t="s">
        <v>40</v>
      </c>
      <c r="F384" s="98"/>
      <c r="G384" s="101"/>
      <c r="H384" s="13"/>
      <c r="I384" s="12" t="s">
        <v>45</v>
      </c>
      <c r="J384" s="1" t="str">
        <f aca="false">IFERROR(INDEX(値リスト!$G$3:$G$11,MATCH(I384,値リスト!$H$3:$H$11,0)),"")</f>
        <v>ferment</v>
      </c>
      <c r="K384" s="1" t="n">
        <v>1</v>
      </c>
      <c r="L384" s="12" t="s">
        <v>1316</v>
      </c>
      <c r="N384" s="97" t="s">
        <v>125</v>
      </c>
    </row>
    <row r="385" customFormat="false" ht="15.75" hidden="false" customHeight="true" outlineLevel="0" collapsed="false">
      <c r="A385" s="14" t="s">
        <v>969</v>
      </c>
      <c r="B385" s="13" t="n">
        <v>2</v>
      </c>
      <c r="C385" s="98" t="s">
        <v>129</v>
      </c>
      <c r="D385" s="101" t="str">
        <f aca="false">IFERROR(INDEX(値リスト!$G$25:$G$29,MATCH(C385,値リスト!$H$25:$H$29,0)),"")</f>
        <v>itemId</v>
      </c>
      <c r="E385" s="13" t="s">
        <v>642</v>
      </c>
      <c r="F385" s="98"/>
      <c r="G385" s="101"/>
      <c r="H385" s="13"/>
      <c r="I385" s="12" t="s">
        <v>37</v>
      </c>
      <c r="J385" s="1" t="str">
        <f aca="false">IFERROR(INDEX(値リスト!$G$3:$G$11,MATCH(I385,値リスト!$H$3:$H$11,0)),"")</f>
        <v>raw</v>
      </c>
      <c r="K385" s="1" t="n">
        <v>1</v>
      </c>
      <c r="L385" s="12" t="s">
        <v>1317</v>
      </c>
      <c r="N385" s="97" t="s">
        <v>125</v>
      </c>
    </row>
    <row r="386" customFormat="false" ht="15.75" hidden="false" customHeight="true" outlineLevel="0" collapsed="false">
      <c r="A386" s="14" t="s">
        <v>969</v>
      </c>
      <c r="B386" s="13" t="n">
        <v>3</v>
      </c>
      <c r="C386" s="98" t="s">
        <v>129</v>
      </c>
      <c r="D386" s="101" t="str">
        <f aca="false">IFERROR(INDEX(値リスト!$G$25:$G$29,MATCH(C386,値リスト!$H$25:$H$29,0)),"")</f>
        <v>itemId</v>
      </c>
      <c r="E386" s="13" t="s">
        <v>630</v>
      </c>
      <c r="F386" s="98"/>
      <c r="G386" s="101"/>
      <c r="H386" s="13"/>
      <c r="I386" s="12" t="s">
        <v>37</v>
      </c>
      <c r="J386" s="1" t="str">
        <f aca="false">IFERROR(INDEX(値リスト!$G$3:$G$11,MATCH(I386,値リスト!$H$3:$H$11,0)),"")</f>
        <v>raw</v>
      </c>
      <c r="K386" s="1" t="n">
        <v>1</v>
      </c>
      <c r="L386" s="12" t="s">
        <v>1318</v>
      </c>
      <c r="N386" s="97" t="s">
        <v>125</v>
      </c>
    </row>
    <row r="387" customFormat="false" ht="15.75" hidden="false" customHeight="true" outlineLevel="0" collapsed="false"/>
    <row r="388" customFormat="false" ht="15.75" hidden="false" customHeight="true" outlineLevel="0" collapsed="false">
      <c r="A388" s="14" t="s">
        <v>972</v>
      </c>
      <c r="B388" s="13" t="n">
        <v>1</v>
      </c>
      <c r="C388" s="98" t="s">
        <v>129</v>
      </c>
      <c r="D388" s="101" t="str">
        <f aca="false">IFERROR(INDEX(値リスト!$G$25:$G$29,MATCH(C388,値リスト!$H$25:$H$29,0)),"")</f>
        <v>itemId</v>
      </c>
      <c r="E388" s="13" t="s">
        <v>609</v>
      </c>
      <c r="F388" s="98"/>
      <c r="G388" s="101"/>
      <c r="H388" s="13"/>
      <c r="I388" s="12" t="s">
        <v>37</v>
      </c>
      <c r="J388" s="1" t="str">
        <f aca="false">IFERROR(INDEX(値リスト!$G$3:$G$11,MATCH(I388,値リスト!$H$3:$H$11,0)),"")</f>
        <v>raw</v>
      </c>
      <c r="K388" s="1" t="n">
        <v>1</v>
      </c>
      <c r="L388" s="12" t="s">
        <v>1287</v>
      </c>
      <c r="N388" s="97" t="s">
        <v>125</v>
      </c>
    </row>
    <row r="389" customFormat="false" ht="15.75" hidden="false" customHeight="true" outlineLevel="0" collapsed="false">
      <c r="A389" s="14" t="s">
        <v>972</v>
      </c>
      <c r="B389" s="13" t="n">
        <v>2</v>
      </c>
      <c r="C389" s="98" t="s">
        <v>140</v>
      </c>
      <c r="D389" s="101" t="str">
        <f aca="false">IFERROR(INDEX(値リスト!$G$25:$G$29,MATCH(C389,値リスト!$H$25:$H$29,0)),"")</f>
        <v>reactionId</v>
      </c>
      <c r="E389" s="13" t="s">
        <v>137</v>
      </c>
      <c r="F389" s="98"/>
      <c r="G389" s="101"/>
      <c r="H389" s="13"/>
      <c r="I389" s="12" t="s">
        <v>61</v>
      </c>
      <c r="J389" s="1" t="str">
        <f aca="false">IFERROR(INDEX(値リスト!$G$3:$G$11,MATCH(I389,値リスト!$H$3:$H$11,0)),"")</f>
        <v>freeze</v>
      </c>
      <c r="K389" s="1" t="n">
        <v>1</v>
      </c>
      <c r="L389" s="12" t="s">
        <v>1319</v>
      </c>
      <c r="N389" s="97" t="s">
        <v>125</v>
      </c>
    </row>
    <row r="390" customFormat="false" ht="15.75" hidden="false" customHeight="true" outlineLevel="0" collapsed="false"/>
    <row r="391" customFormat="false" ht="15.75" hidden="false" customHeight="true" outlineLevel="0" collapsed="false">
      <c r="A391" s="14"/>
      <c r="B391" s="13"/>
      <c r="C391" s="98"/>
      <c r="D391" s="101"/>
      <c r="E391" s="13"/>
      <c r="F391" s="98"/>
      <c r="G391" s="101"/>
      <c r="H391" s="13"/>
      <c r="I391" s="12"/>
      <c r="L391" s="12"/>
    </row>
    <row r="392" customFormat="false" ht="15.75" hidden="false" customHeight="true" outlineLevel="0" collapsed="false">
      <c r="A392" s="14" t="s">
        <v>728</v>
      </c>
      <c r="B392" s="13" t="n">
        <v>1</v>
      </c>
      <c r="C392" s="98" t="s">
        <v>129</v>
      </c>
      <c r="D392" s="101" t="str">
        <f aca="false">IFERROR(INDEX(値リスト!$G$25:$G$29,MATCH(C392,値リスト!$H$25:$H$29,0)),"")</f>
        <v>itemId</v>
      </c>
      <c r="E392" s="13" t="s">
        <v>634</v>
      </c>
      <c r="F392" s="98"/>
      <c r="G392" s="101"/>
      <c r="H392" s="13"/>
      <c r="I392" s="12" t="s">
        <v>68</v>
      </c>
      <c r="J392" s="1" t="str">
        <f aca="false">IFERROR(INDEX(値リスト!$G$3:$G$11,MATCH(I392,値リスト!$H$3:$H$11,0)),"")</f>
        <v>distill</v>
      </c>
      <c r="K392" s="1" t="n">
        <v>1</v>
      </c>
      <c r="L392" s="12" t="s">
        <v>1320</v>
      </c>
      <c r="N392" s="97" t="s">
        <v>695</v>
      </c>
    </row>
    <row r="393" customFormat="false" ht="15.75" hidden="false" customHeight="true" outlineLevel="0" collapsed="false"/>
    <row r="394" customFormat="false" ht="15.75" hidden="false" customHeight="true" outlineLevel="0" collapsed="false">
      <c r="A394" s="14"/>
      <c r="B394" s="13"/>
      <c r="C394" s="98"/>
      <c r="D394" s="101"/>
      <c r="E394" s="13"/>
      <c r="F394" s="98"/>
      <c r="G394" s="101"/>
      <c r="H394" s="13"/>
      <c r="I394" s="12"/>
      <c r="L394" s="12"/>
    </row>
    <row r="395" customFormat="false" ht="15.75" hidden="false" customHeight="true" outlineLevel="0" collapsed="false">
      <c r="A395" s="14" t="s">
        <v>734</v>
      </c>
      <c r="B395" s="13" t="n">
        <v>1</v>
      </c>
      <c r="C395" s="98" t="s">
        <v>136</v>
      </c>
      <c r="D395" s="101" t="str">
        <f aca="false">IFERROR(INDEX(値リスト!$G$25:$G$29,MATCH(C395,値リスト!$H$25:$H$29,0)),"")</f>
        <v>effectId</v>
      </c>
      <c r="E395" s="13" t="s">
        <v>91</v>
      </c>
      <c r="F395" s="98"/>
      <c r="G395" s="101"/>
      <c r="H395" s="13"/>
      <c r="I395" s="12" t="s">
        <v>68</v>
      </c>
      <c r="J395" s="1" t="str">
        <f aca="false">IFERROR(INDEX(値リスト!$G$3:$G$11,MATCH(I395,値リスト!$H$3:$H$11,0)),"")</f>
        <v>distill</v>
      </c>
      <c r="K395" s="1" t="n">
        <v>1</v>
      </c>
      <c r="L395" s="12" t="s">
        <v>1321</v>
      </c>
      <c r="N395" s="97" t="s">
        <v>695</v>
      </c>
    </row>
    <row r="396" customFormat="false" ht="15.75" hidden="false" customHeight="true" outlineLevel="0" collapsed="false">
      <c r="A396" s="14" t="s">
        <v>734</v>
      </c>
      <c r="B396" s="13" t="n">
        <v>2</v>
      </c>
      <c r="C396" s="98" t="s">
        <v>140</v>
      </c>
      <c r="D396" s="101" t="str">
        <f aca="false">IFERROR(INDEX(値リスト!$G$25:$G$29,MATCH(C396,値リスト!$H$25:$H$29,0)),"")</f>
        <v>reactionId</v>
      </c>
      <c r="E396" s="13" t="s">
        <v>146</v>
      </c>
      <c r="F396" s="98"/>
      <c r="G396" s="101"/>
      <c r="H396" s="13"/>
      <c r="I396" s="12" t="s">
        <v>37</v>
      </c>
      <c r="J396" s="1" t="str">
        <f aca="false">IFERROR(INDEX(値リスト!$G$3:$G$11,MATCH(I396,値リスト!$H$3:$H$11,0)),"")</f>
        <v>raw</v>
      </c>
      <c r="K396" s="1" t="n">
        <v>1</v>
      </c>
      <c r="L396" s="12" t="s">
        <v>1322</v>
      </c>
      <c r="N396" s="97" t="s">
        <v>695</v>
      </c>
    </row>
    <row r="397" customFormat="false" ht="15.75" hidden="false" customHeight="true" outlineLevel="0" collapsed="false"/>
    <row r="398" customFormat="false" ht="15.75" hidden="false" customHeight="true" outlineLevel="0" collapsed="false">
      <c r="A398" s="14"/>
      <c r="B398" s="13"/>
      <c r="C398" s="98"/>
      <c r="D398" s="101"/>
      <c r="E398" s="13"/>
      <c r="F398" s="98"/>
      <c r="G398" s="101"/>
      <c r="H398" s="13"/>
      <c r="I398" s="12"/>
      <c r="L398" s="12"/>
    </row>
    <row r="399" customFormat="false" ht="15.75" hidden="false" customHeight="true" outlineLevel="0" collapsed="false">
      <c r="A399" s="14" t="s">
        <v>738</v>
      </c>
      <c r="B399" s="13" t="n">
        <v>1</v>
      </c>
      <c r="C399" s="98" t="s">
        <v>136</v>
      </c>
      <c r="D399" s="101" t="str">
        <f aca="false">IFERROR(INDEX(値リスト!$G$25:$G$29,MATCH(C399,値リスト!$H$25:$H$29,0)),"")</f>
        <v>effectId</v>
      </c>
      <c r="E399" s="13" t="s">
        <v>109</v>
      </c>
      <c r="F399" s="98"/>
      <c r="G399" s="101"/>
      <c r="H399" s="13"/>
      <c r="I399" s="12" t="s">
        <v>68</v>
      </c>
      <c r="J399" s="1" t="str">
        <f aca="false">IFERROR(INDEX(値リスト!$G$3:$G$11,MATCH(I399,値リスト!$H$3:$H$11,0)),"")</f>
        <v>distill</v>
      </c>
      <c r="K399" s="1" t="n">
        <v>1</v>
      </c>
      <c r="L399" s="12" t="s">
        <v>1323</v>
      </c>
      <c r="N399" s="97" t="s">
        <v>695</v>
      </c>
    </row>
    <row r="400" customFormat="false" ht="15.75" hidden="false" customHeight="true" outlineLevel="0" collapsed="false">
      <c r="A400" s="14" t="s">
        <v>738</v>
      </c>
      <c r="B400" s="13" t="n">
        <v>2</v>
      </c>
      <c r="C400" s="98" t="s">
        <v>140</v>
      </c>
      <c r="D400" s="101" t="str">
        <f aca="false">IFERROR(INDEX(値リスト!$G$25:$G$29,MATCH(C400,値リスト!$H$25:$H$29,0)),"")</f>
        <v>reactionId</v>
      </c>
      <c r="E400" s="13" t="s">
        <v>146</v>
      </c>
      <c r="F400" s="98"/>
      <c r="G400" s="101"/>
      <c r="H400" s="13"/>
      <c r="I400" s="12" t="s">
        <v>37</v>
      </c>
      <c r="J400" s="1" t="str">
        <f aca="false">IFERROR(INDEX(値リスト!$G$3:$G$11,MATCH(I400,値リスト!$H$3:$H$11,0)),"")</f>
        <v>raw</v>
      </c>
      <c r="K400" s="1" t="n">
        <v>1</v>
      </c>
      <c r="L400" s="12" t="s">
        <v>1322</v>
      </c>
      <c r="N400" s="97" t="s">
        <v>695</v>
      </c>
    </row>
    <row r="401" customFormat="false" ht="15.75" hidden="false" customHeight="true" outlineLevel="0" collapsed="false"/>
    <row r="402" customFormat="false" ht="15.75" hidden="false" customHeight="true" outlineLevel="0" collapsed="false">
      <c r="A402" s="14"/>
      <c r="B402" s="13"/>
      <c r="C402" s="98"/>
      <c r="D402" s="101"/>
      <c r="E402" s="13"/>
      <c r="F402" s="98"/>
      <c r="G402" s="101"/>
      <c r="H402" s="13"/>
      <c r="I402" s="12"/>
      <c r="L402" s="12"/>
    </row>
    <row r="403" customFormat="false" ht="15.75" hidden="false" customHeight="true" outlineLevel="0" collapsed="false">
      <c r="A403" s="14" t="s">
        <v>742</v>
      </c>
      <c r="B403" s="13" t="n">
        <v>1</v>
      </c>
      <c r="C403" s="98" t="s">
        <v>136</v>
      </c>
      <c r="D403" s="101" t="str">
        <f aca="false">IFERROR(INDEX(値リスト!$G$25:$G$29,MATCH(C403,値リスト!$H$25:$H$29,0)),"")</f>
        <v>effectId</v>
      </c>
      <c r="E403" s="13" t="s">
        <v>119</v>
      </c>
      <c r="F403" s="98"/>
      <c r="G403" s="101"/>
      <c r="H403" s="13"/>
      <c r="I403" s="12" t="s">
        <v>68</v>
      </c>
      <c r="J403" s="1" t="str">
        <f aca="false">IFERROR(INDEX(値リスト!$G$3:$G$11,MATCH(I403,値リスト!$H$3:$H$11,0)),"")</f>
        <v>distill</v>
      </c>
      <c r="K403" s="1" t="n">
        <v>1</v>
      </c>
      <c r="L403" s="12" t="s">
        <v>1324</v>
      </c>
      <c r="N403" s="97" t="s">
        <v>695</v>
      </c>
    </row>
    <row r="404" customFormat="false" ht="15.75" hidden="false" customHeight="true" outlineLevel="0" collapsed="false">
      <c r="A404" s="14" t="s">
        <v>742</v>
      </c>
      <c r="B404" s="13" t="n">
        <v>2</v>
      </c>
      <c r="C404" s="98" t="s">
        <v>129</v>
      </c>
      <c r="D404" s="101" t="str">
        <f aca="false">IFERROR(INDEX(値リスト!$G$25:$G$29,MATCH(C404,値リスト!$H$25:$H$29,0)),"")</f>
        <v>itemId</v>
      </c>
      <c r="E404" s="13" t="s">
        <v>604</v>
      </c>
      <c r="F404" s="98"/>
      <c r="G404" s="101"/>
      <c r="H404" s="13"/>
      <c r="I404" s="12" t="s">
        <v>37</v>
      </c>
      <c r="J404" s="1" t="str">
        <f aca="false">IFERROR(INDEX(値リスト!$G$3:$G$11,MATCH(I404,値リスト!$H$3:$H$11,0)),"")</f>
        <v>raw</v>
      </c>
      <c r="K404" s="1" t="n">
        <v>1</v>
      </c>
      <c r="L404" s="12" t="s">
        <v>1325</v>
      </c>
      <c r="N404" s="97" t="s">
        <v>695</v>
      </c>
    </row>
    <row r="405" customFormat="false" ht="15.75" hidden="false" customHeight="true" outlineLevel="0" collapsed="false"/>
    <row r="406" customFormat="false" ht="15.75" hidden="false" customHeight="true" outlineLevel="0" collapsed="false">
      <c r="A406" s="14"/>
      <c r="B406" s="13"/>
      <c r="C406" s="98"/>
      <c r="D406" s="101"/>
      <c r="E406" s="13"/>
      <c r="F406" s="98"/>
      <c r="G406" s="101"/>
      <c r="H406" s="13"/>
      <c r="I406" s="12"/>
      <c r="L406" s="12"/>
    </row>
    <row r="407" customFormat="false" ht="15.75" hidden="false" customHeight="true" outlineLevel="0" collapsed="false">
      <c r="A407" s="14" t="s">
        <v>746</v>
      </c>
      <c r="B407" s="13" t="n">
        <v>1</v>
      </c>
      <c r="C407" s="98" t="s">
        <v>129</v>
      </c>
      <c r="D407" s="101" t="str">
        <f aca="false">IFERROR(INDEX(値リスト!$G$25:$G$29,MATCH(C407,値リスト!$H$25:$H$29,0)),"")</f>
        <v>itemId</v>
      </c>
      <c r="E407" s="13" t="s">
        <v>674</v>
      </c>
      <c r="F407" s="98"/>
      <c r="G407" s="101"/>
      <c r="H407" s="13"/>
      <c r="I407" s="12" t="s">
        <v>68</v>
      </c>
      <c r="J407" s="1" t="str">
        <f aca="false">IFERROR(INDEX(値リスト!$G$3:$G$11,MATCH(I407,値リスト!$H$3:$H$11,0)),"")</f>
        <v>distill</v>
      </c>
      <c r="K407" s="1" t="n">
        <v>1</v>
      </c>
      <c r="L407" s="12" t="s">
        <v>1326</v>
      </c>
      <c r="N407" s="97" t="s">
        <v>695</v>
      </c>
    </row>
    <row r="408" customFormat="false" ht="15.75" hidden="false" customHeight="true" outlineLevel="0" collapsed="false">
      <c r="A408" s="14" t="s">
        <v>746</v>
      </c>
      <c r="B408" s="13" t="n">
        <v>2</v>
      </c>
      <c r="C408" s="98" t="s">
        <v>136</v>
      </c>
      <c r="D408" s="101" t="str">
        <f aca="false">IFERROR(INDEX(値リスト!$G$25:$G$29,MATCH(C408,値リスト!$H$25:$H$29,0)),"")</f>
        <v>effectId</v>
      </c>
      <c r="E408" s="13" t="s">
        <v>76</v>
      </c>
      <c r="F408" s="98"/>
      <c r="G408" s="101"/>
      <c r="H408" s="13"/>
      <c r="I408" s="12" t="s">
        <v>37</v>
      </c>
      <c r="J408" s="1" t="str">
        <f aca="false">IFERROR(INDEX(値リスト!$G$3:$G$11,MATCH(I408,値リスト!$H$3:$H$11,0)),"")</f>
        <v>raw</v>
      </c>
      <c r="K408" s="1" t="n">
        <v>1</v>
      </c>
      <c r="L408" s="12" t="s">
        <v>1327</v>
      </c>
      <c r="N408" s="97" t="s">
        <v>695</v>
      </c>
    </row>
    <row r="409" customFormat="false" ht="15.75" hidden="false" customHeight="true" outlineLevel="0" collapsed="false"/>
    <row r="410" customFormat="false" ht="15.75" hidden="false" customHeight="true" outlineLevel="0" collapsed="false">
      <c r="A410" s="14" t="s">
        <v>979</v>
      </c>
      <c r="B410" s="13" t="n">
        <v>1</v>
      </c>
      <c r="C410" s="98" t="s">
        <v>129</v>
      </c>
      <c r="D410" s="101" t="str">
        <f aca="false">IFERROR(INDEX(値リスト!$G$25:$G$29,MATCH(C410,値リスト!$H$25:$H$29,0)),"")</f>
        <v>itemId</v>
      </c>
      <c r="E410" s="13" t="s">
        <v>699</v>
      </c>
      <c r="F410" s="98"/>
      <c r="G410" s="101"/>
      <c r="H410" s="13"/>
      <c r="I410" s="12" t="s">
        <v>13</v>
      </c>
      <c r="J410" s="1" t="str">
        <f aca="false">IFERROR(INDEX(値リスト!$G$3:$G$11,MATCH(I410,値リスト!$H$3:$H$11,0)),"")</f>
        <v>grind</v>
      </c>
      <c r="K410" s="1" t="n">
        <v>1</v>
      </c>
      <c r="L410" s="12" t="s">
        <v>1328</v>
      </c>
      <c r="N410" s="97" t="s">
        <v>125</v>
      </c>
    </row>
    <row r="411" customFormat="false" ht="15.75" hidden="false" customHeight="true" outlineLevel="0" collapsed="false">
      <c r="A411" s="14" t="s">
        <v>979</v>
      </c>
      <c r="B411" s="13" t="n">
        <v>2</v>
      </c>
      <c r="C411" s="98" t="s">
        <v>129</v>
      </c>
      <c r="D411" s="101" t="str">
        <f aca="false">IFERROR(INDEX(値リスト!$G$25:$G$29,MATCH(C411,値リスト!$H$25:$H$29,0)),"")</f>
        <v>itemId</v>
      </c>
      <c r="E411" s="13" t="s">
        <v>646</v>
      </c>
      <c r="F411" s="98"/>
      <c r="G411" s="101"/>
      <c r="H411" s="13"/>
      <c r="I411" s="12" t="s">
        <v>37</v>
      </c>
      <c r="J411" s="1" t="str">
        <f aca="false">IFERROR(INDEX(値リスト!$G$3:$G$11,MATCH(I411,値リスト!$H$3:$H$11,0)),"")</f>
        <v>raw</v>
      </c>
      <c r="K411" s="1" t="n">
        <v>1</v>
      </c>
      <c r="L411" s="12" t="s">
        <v>1329</v>
      </c>
      <c r="N411" s="97" t="s">
        <v>125</v>
      </c>
    </row>
    <row r="412" customFormat="false" ht="15.75" hidden="false" customHeight="true" outlineLevel="0" collapsed="false"/>
    <row r="413" customFormat="false" ht="15.75" hidden="false" customHeight="true" outlineLevel="0" collapsed="false">
      <c r="A413" s="14" t="s">
        <v>983</v>
      </c>
      <c r="B413" s="13" t="n">
        <v>1</v>
      </c>
      <c r="C413" s="98" t="s">
        <v>129</v>
      </c>
      <c r="D413" s="101" t="str">
        <f aca="false">IFERROR(INDEX(値リスト!$G$25:$G$29,MATCH(C413,値リスト!$H$25:$H$29,0)),"")</f>
        <v>itemId</v>
      </c>
      <c r="E413" s="13" t="s">
        <v>703</v>
      </c>
      <c r="F413" s="98"/>
      <c r="G413" s="101"/>
      <c r="H413" s="13"/>
      <c r="I413" s="12" t="s">
        <v>37</v>
      </c>
      <c r="J413" s="1" t="str">
        <f aca="false">IFERROR(INDEX(値リスト!$G$3:$G$11,MATCH(I413,値リスト!$H$3:$H$11,0)),"")</f>
        <v>raw</v>
      </c>
      <c r="K413" s="1" t="n">
        <v>1</v>
      </c>
      <c r="L413" s="12" t="s">
        <v>1330</v>
      </c>
      <c r="N413" s="97" t="s">
        <v>125</v>
      </c>
    </row>
    <row r="414" customFormat="false" ht="15.75" hidden="false" customHeight="true" outlineLevel="0" collapsed="false">
      <c r="A414" s="14" t="s">
        <v>983</v>
      </c>
      <c r="B414" s="13" t="n">
        <v>2</v>
      </c>
      <c r="C414" s="98" t="s">
        <v>129</v>
      </c>
      <c r="D414" s="101" t="str">
        <f aca="false">IFERROR(INDEX(値リスト!$G$25:$G$29,MATCH(C414,値リスト!$H$25:$H$29,0)),"")</f>
        <v>itemId</v>
      </c>
      <c r="E414" s="13" t="s">
        <v>674</v>
      </c>
      <c r="F414" s="98"/>
      <c r="G414" s="101"/>
      <c r="H414" s="13"/>
      <c r="I414" s="12" t="s">
        <v>65</v>
      </c>
      <c r="J414" s="1" t="str">
        <f aca="false">IFERROR(INDEX(値リスト!$G$3:$G$11,MATCH(I414,値リスト!$H$3:$H$11,0)),"")</f>
        <v>dissolve</v>
      </c>
      <c r="K414" s="1" t="n">
        <v>1</v>
      </c>
      <c r="L414" s="12" t="s">
        <v>1331</v>
      </c>
      <c r="N414" s="97" t="s">
        <v>125</v>
      </c>
    </row>
    <row r="415" customFormat="false" ht="15.75" hidden="false" customHeight="true" outlineLevel="0" collapsed="false"/>
    <row r="416" customFormat="false" ht="15.75" hidden="false" customHeight="true" outlineLevel="0" collapsed="false">
      <c r="A416" s="14" t="s">
        <v>986</v>
      </c>
      <c r="B416" s="13" t="n">
        <v>1</v>
      </c>
      <c r="C416" s="98" t="s">
        <v>129</v>
      </c>
      <c r="D416" s="101" t="str">
        <f aca="false">IFERROR(INDEX(値リスト!$G$25:$G$29,MATCH(C416,値リスト!$H$25:$H$29,0)),"")</f>
        <v>itemId</v>
      </c>
      <c r="E416" s="13" t="s">
        <v>711</v>
      </c>
      <c r="F416" s="98"/>
      <c r="G416" s="101"/>
      <c r="H416" s="13"/>
      <c r="I416" s="12" t="s">
        <v>13</v>
      </c>
      <c r="J416" s="1" t="str">
        <f aca="false">IFERROR(INDEX(値リスト!$G$3:$G$11,MATCH(I416,値リスト!$H$3:$H$11,0)),"")</f>
        <v>grind</v>
      </c>
      <c r="K416" s="1" t="n">
        <v>1</v>
      </c>
      <c r="L416" s="12" t="s">
        <v>1332</v>
      </c>
      <c r="N416" s="97" t="s">
        <v>125</v>
      </c>
    </row>
    <row r="417" customFormat="false" ht="15.75" hidden="false" customHeight="true" outlineLevel="0" collapsed="false">
      <c r="A417" s="14" t="s">
        <v>986</v>
      </c>
      <c r="B417" s="13" t="n">
        <v>2</v>
      </c>
      <c r="C417" s="98" t="s">
        <v>129</v>
      </c>
      <c r="D417" s="101" t="str">
        <f aca="false">IFERROR(INDEX(値リスト!$G$25:$G$29,MATCH(C417,値リスト!$H$25:$H$29,0)),"")</f>
        <v>itemId</v>
      </c>
      <c r="E417" s="13" t="s">
        <v>674</v>
      </c>
      <c r="F417" s="98"/>
      <c r="G417" s="101"/>
      <c r="H417" s="13"/>
      <c r="I417" s="12" t="s">
        <v>37</v>
      </c>
      <c r="J417" s="1" t="str">
        <f aca="false">IFERROR(INDEX(値リスト!$G$3:$G$11,MATCH(I417,値リスト!$H$3:$H$11,0)),"")</f>
        <v>raw</v>
      </c>
      <c r="K417" s="1" t="n">
        <v>1</v>
      </c>
      <c r="L417" s="12" t="s">
        <v>1333</v>
      </c>
      <c r="N417" s="97" t="s">
        <v>125</v>
      </c>
    </row>
    <row r="418" customFormat="false" ht="15.75" hidden="false" customHeight="true" outlineLevel="0" collapsed="false"/>
    <row r="419" customFormat="false" ht="15.75" hidden="false" customHeight="true" outlineLevel="0" collapsed="false">
      <c r="A419" s="14" t="s">
        <v>989</v>
      </c>
      <c r="B419" s="13" t="n">
        <v>1</v>
      </c>
      <c r="C419" s="98" t="s">
        <v>129</v>
      </c>
      <c r="D419" s="101" t="str">
        <f aca="false">IFERROR(INDEX(値リスト!$G$25:$G$29,MATCH(C419,値リスト!$H$25:$H$29,0)),"")</f>
        <v>itemId</v>
      </c>
      <c r="E419" s="13" t="s">
        <v>707</v>
      </c>
      <c r="F419" s="98"/>
      <c r="G419" s="101"/>
      <c r="H419" s="13"/>
      <c r="I419" s="12" t="s">
        <v>53</v>
      </c>
      <c r="J419" s="1" t="str">
        <f aca="false">IFERROR(INDEX(値リスト!$G$3:$G$11,MATCH(I419,値リスト!$H$3:$H$11,0)),"")</f>
        <v>burn</v>
      </c>
      <c r="K419" s="1" t="n">
        <v>1</v>
      </c>
      <c r="L419" s="12" t="s">
        <v>1334</v>
      </c>
      <c r="N419" s="97" t="s">
        <v>125</v>
      </c>
    </row>
    <row r="420" customFormat="false" ht="15.75" hidden="false" customHeight="true" outlineLevel="0" collapsed="false">
      <c r="A420" s="14" t="s">
        <v>989</v>
      </c>
      <c r="B420" s="13" t="n">
        <v>2</v>
      </c>
      <c r="C420" s="98" t="s">
        <v>129</v>
      </c>
      <c r="D420" s="101" t="str">
        <f aca="false">IFERROR(INDEX(値リスト!$G$25:$G$29,MATCH(C420,値リスト!$H$25:$H$29,0)),"")</f>
        <v>itemId</v>
      </c>
      <c r="E420" s="13" t="s">
        <v>630</v>
      </c>
      <c r="F420" s="98"/>
      <c r="G420" s="101"/>
      <c r="H420" s="13"/>
      <c r="I420" s="12" t="s">
        <v>37</v>
      </c>
      <c r="J420" s="1" t="str">
        <f aca="false">IFERROR(INDEX(値リスト!$G$3:$G$11,MATCH(I420,値リスト!$H$3:$H$11,0)),"")</f>
        <v>raw</v>
      </c>
      <c r="K420" s="1" t="n">
        <v>1</v>
      </c>
      <c r="L420" s="12" t="s">
        <v>1335</v>
      </c>
      <c r="N420" s="97" t="s">
        <v>125</v>
      </c>
    </row>
    <row r="421" customFormat="false" ht="15.75" hidden="false" customHeight="true" outlineLevel="0" collapsed="false"/>
    <row r="422" customFormat="false" ht="15.75" hidden="false" customHeight="true" outlineLevel="0" collapsed="false">
      <c r="A422" s="14" t="s">
        <v>992</v>
      </c>
      <c r="B422" s="13" t="n">
        <v>1</v>
      </c>
      <c r="C422" s="98" t="s">
        <v>129</v>
      </c>
      <c r="D422" s="101" t="str">
        <f aca="false">IFERROR(INDEX(値リスト!$G$25:$G$29,MATCH(C422,値リスト!$H$25:$H$29,0)),"")</f>
        <v>itemId</v>
      </c>
      <c r="E422" s="13" t="s">
        <v>719</v>
      </c>
      <c r="F422" s="98"/>
      <c r="G422" s="101"/>
      <c r="H422" s="13"/>
      <c r="I422" s="12" t="s">
        <v>37</v>
      </c>
      <c r="J422" s="1" t="str">
        <f aca="false">IFERROR(INDEX(値リスト!$G$3:$G$11,MATCH(I422,値リスト!$H$3:$H$11,0)),"")</f>
        <v>raw</v>
      </c>
      <c r="K422" s="1" t="n">
        <v>1</v>
      </c>
      <c r="L422" s="12" t="s">
        <v>1336</v>
      </c>
      <c r="N422" s="97" t="s">
        <v>125</v>
      </c>
    </row>
    <row r="423" customFormat="false" ht="15.75" hidden="false" customHeight="true" outlineLevel="0" collapsed="false">
      <c r="A423" s="14" t="s">
        <v>992</v>
      </c>
      <c r="B423" s="13" t="n">
        <v>2</v>
      </c>
      <c r="C423" s="98" t="s">
        <v>129</v>
      </c>
      <c r="D423" s="101" t="str">
        <f aca="false">IFERROR(INDEX(値リスト!$G$25:$G$29,MATCH(C423,値リスト!$H$25:$H$29,0)),"")</f>
        <v>itemId</v>
      </c>
      <c r="E423" s="13" t="s">
        <v>670</v>
      </c>
      <c r="F423" s="98"/>
      <c r="G423" s="101"/>
      <c r="H423" s="13"/>
      <c r="I423" s="12" t="s">
        <v>65</v>
      </c>
      <c r="J423" s="1" t="str">
        <f aca="false">IFERROR(INDEX(値リスト!$G$3:$G$11,MATCH(I423,値リスト!$H$3:$H$11,0)),"")</f>
        <v>dissolve</v>
      </c>
      <c r="K423" s="1" t="n">
        <v>1</v>
      </c>
      <c r="L423" s="12" t="s">
        <v>1337</v>
      </c>
      <c r="N423" s="97" t="s">
        <v>125</v>
      </c>
    </row>
    <row r="424" customFormat="false" ht="15.75" hidden="false" customHeight="true" outlineLevel="0" collapsed="false">
      <c r="A424" s="14" t="s">
        <v>992</v>
      </c>
      <c r="B424" s="13" t="n">
        <v>3</v>
      </c>
      <c r="C424" s="98" t="s">
        <v>129</v>
      </c>
      <c r="D424" s="101" t="str">
        <f aca="false">IFERROR(INDEX(値リスト!$G$25:$G$29,MATCH(C424,値リスト!$H$25:$H$29,0)),"")</f>
        <v>itemId</v>
      </c>
      <c r="E424" s="13" t="s">
        <v>585</v>
      </c>
      <c r="F424" s="98"/>
      <c r="G424" s="101"/>
      <c r="H424" s="13"/>
      <c r="I424" s="12" t="s">
        <v>37</v>
      </c>
      <c r="J424" s="1" t="str">
        <f aca="false">IFERROR(INDEX(値リスト!$G$3:$G$11,MATCH(I424,値リスト!$H$3:$H$11,0)),"")</f>
        <v>raw</v>
      </c>
      <c r="K424" s="1" t="n">
        <v>1</v>
      </c>
      <c r="L424" s="12" t="s">
        <v>1338</v>
      </c>
      <c r="N424" s="97" t="s">
        <v>125</v>
      </c>
    </row>
    <row r="425" customFormat="false" ht="15.75" hidden="false" customHeight="true" outlineLevel="0" collapsed="false"/>
    <row r="426" customFormat="false" ht="15.75" hidden="false" customHeight="true" outlineLevel="0" collapsed="false">
      <c r="A426" s="14" t="s">
        <v>995</v>
      </c>
      <c r="B426" s="13" t="n">
        <v>1</v>
      </c>
      <c r="C426" s="98" t="s">
        <v>129</v>
      </c>
      <c r="D426" s="101" t="str">
        <f aca="false">IFERROR(INDEX(値リスト!$G$25:$G$29,MATCH(C426,値リスト!$H$25:$H$29,0)),"")</f>
        <v>itemId</v>
      </c>
      <c r="E426" s="13" t="s">
        <v>715</v>
      </c>
      <c r="F426" s="98"/>
      <c r="G426" s="101"/>
      <c r="H426" s="13"/>
      <c r="I426" s="12" t="s">
        <v>37</v>
      </c>
      <c r="J426" s="1" t="str">
        <f aca="false">IFERROR(INDEX(値リスト!$G$3:$G$11,MATCH(I426,値リスト!$H$3:$H$11,0)),"")</f>
        <v>raw</v>
      </c>
      <c r="K426" s="1" t="n">
        <v>1</v>
      </c>
      <c r="L426" s="12" t="s">
        <v>1339</v>
      </c>
      <c r="N426" s="97" t="s">
        <v>125</v>
      </c>
    </row>
    <row r="427" customFormat="false" ht="15.75" hidden="false" customHeight="true" outlineLevel="0" collapsed="false">
      <c r="A427" s="14" t="s">
        <v>995</v>
      </c>
      <c r="B427" s="13" t="n">
        <v>2</v>
      </c>
      <c r="C427" s="98" t="s">
        <v>129</v>
      </c>
      <c r="D427" s="101" t="str">
        <f aca="false">IFERROR(INDEX(値リスト!$G$25:$G$29,MATCH(C427,値リスト!$H$25:$H$29,0)),"")</f>
        <v>itemId</v>
      </c>
      <c r="E427" s="13" t="s">
        <v>670</v>
      </c>
      <c r="F427" s="98"/>
      <c r="G427" s="101"/>
      <c r="H427" s="13"/>
      <c r="I427" s="12" t="s">
        <v>65</v>
      </c>
      <c r="J427" s="1" t="str">
        <f aca="false">IFERROR(INDEX(値リスト!$G$3:$G$11,MATCH(I427,値リスト!$H$3:$H$11,0)),"")</f>
        <v>dissolve</v>
      </c>
      <c r="K427" s="1" t="n">
        <v>1</v>
      </c>
      <c r="L427" s="12" t="s">
        <v>1340</v>
      </c>
      <c r="N427" s="97" t="s">
        <v>125</v>
      </c>
    </row>
    <row r="428" customFormat="false" ht="15.75" hidden="false" customHeight="true" outlineLevel="0" collapsed="false">
      <c r="A428" s="14" t="s">
        <v>995</v>
      </c>
      <c r="B428" s="13" t="n">
        <v>3</v>
      </c>
      <c r="C428" s="98" t="s">
        <v>129</v>
      </c>
      <c r="D428" s="101" t="str">
        <f aca="false">IFERROR(INDEX(値リスト!$G$25:$G$29,MATCH(C428,値リスト!$H$25:$H$29,0)),"")</f>
        <v>itemId</v>
      </c>
      <c r="E428" s="13" t="s">
        <v>582</v>
      </c>
      <c r="F428" s="98"/>
      <c r="G428" s="101"/>
      <c r="H428" s="13"/>
      <c r="I428" s="12" t="s">
        <v>37</v>
      </c>
      <c r="J428" s="1" t="str">
        <f aca="false">IFERROR(INDEX(値リスト!$G$3:$G$11,MATCH(I428,値リスト!$H$3:$H$11,0)),"")</f>
        <v>raw</v>
      </c>
      <c r="K428" s="1" t="n">
        <v>1</v>
      </c>
      <c r="L428" s="12" t="s">
        <v>1341</v>
      </c>
      <c r="N428" s="97" t="s">
        <v>125</v>
      </c>
    </row>
    <row r="429" customFormat="false" ht="15.75" hidden="false" customHeight="true" outlineLevel="0" collapsed="false"/>
    <row r="430" customFormat="false" ht="15.75" hidden="false" customHeight="true" outlineLevel="0" collapsed="false">
      <c r="A430" s="14" t="s">
        <v>998</v>
      </c>
      <c r="B430" s="13" t="n">
        <v>1</v>
      </c>
      <c r="C430" s="98" t="s">
        <v>129</v>
      </c>
      <c r="D430" s="101" t="str">
        <f aca="false">IFERROR(INDEX(値リスト!$G$25:$G$29,MATCH(C430,値リスト!$H$25:$H$29,0)),"")</f>
        <v>itemId</v>
      </c>
      <c r="E430" s="13" t="s">
        <v>723</v>
      </c>
      <c r="F430" s="98"/>
      <c r="G430" s="101"/>
      <c r="H430" s="13"/>
      <c r="I430" s="12" t="s">
        <v>53</v>
      </c>
      <c r="J430" s="1" t="str">
        <f aca="false">IFERROR(INDEX(値リスト!$G$3:$G$11,MATCH(I430,値リスト!$H$3:$H$11,0)),"")</f>
        <v>burn</v>
      </c>
      <c r="K430" s="1" t="n">
        <v>1</v>
      </c>
      <c r="L430" s="12" t="s">
        <v>1342</v>
      </c>
      <c r="N430" s="97" t="s">
        <v>125</v>
      </c>
    </row>
    <row r="431" customFormat="false" ht="15.75" hidden="false" customHeight="true" outlineLevel="0" collapsed="false">
      <c r="A431" s="14" t="s">
        <v>998</v>
      </c>
      <c r="B431" s="13" t="n">
        <v>2</v>
      </c>
      <c r="C431" s="98" t="s">
        <v>129</v>
      </c>
      <c r="D431" s="101" t="str">
        <f aca="false">IFERROR(INDEX(値リスト!$G$25:$G$29,MATCH(C431,値リスト!$H$25:$H$29,0)),"")</f>
        <v>itemId</v>
      </c>
      <c r="E431" s="13" t="s">
        <v>658</v>
      </c>
      <c r="F431" s="98"/>
      <c r="G431" s="101"/>
      <c r="H431" s="13"/>
      <c r="I431" s="12" t="s">
        <v>37</v>
      </c>
      <c r="J431" s="1" t="str">
        <f aca="false">IFERROR(INDEX(値リスト!$G$3:$G$11,MATCH(I431,値リスト!$H$3:$H$11,0)),"")</f>
        <v>raw</v>
      </c>
      <c r="K431" s="1" t="n">
        <v>1</v>
      </c>
      <c r="L431" s="12" t="s">
        <v>1135</v>
      </c>
      <c r="N431" s="97" t="s">
        <v>125</v>
      </c>
    </row>
    <row r="432" customFormat="false" ht="15.75" hidden="false" customHeight="true" outlineLevel="0" collapsed="false">
      <c r="A432" s="14" t="s">
        <v>998</v>
      </c>
      <c r="B432" s="13" t="n">
        <v>3</v>
      </c>
      <c r="C432" s="98" t="s">
        <v>129</v>
      </c>
      <c r="D432" s="101" t="str">
        <f aca="false">IFERROR(INDEX(値リスト!$G$25:$G$29,MATCH(C432,値リスト!$H$25:$H$29,0)),"")</f>
        <v>itemId</v>
      </c>
      <c r="E432" s="13" t="s">
        <v>613</v>
      </c>
      <c r="F432" s="98"/>
      <c r="G432" s="101"/>
      <c r="H432" s="13"/>
      <c r="I432" s="12" t="s">
        <v>37</v>
      </c>
      <c r="J432" s="1" t="str">
        <f aca="false">IFERROR(INDEX(値リスト!$G$3:$G$11,MATCH(I432,値リスト!$H$3:$H$11,0)),"")</f>
        <v>raw</v>
      </c>
      <c r="K432" s="1" t="n">
        <v>1</v>
      </c>
      <c r="L432" s="12" t="s">
        <v>1117</v>
      </c>
      <c r="N432" s="97" t="s">
        <v>125</v>
      </c>
    </row>
    <row r="433" customFormat="false" ht="15.75" hidden="false" customHeight="true" outlineLevel="0" collapsed="false"/>
    <row r="434" customFormat="false" ht="15.75" hidden="false" customHeight="true" outlineLevel="0" collapsed="false">
      <c r="A434" s="121" t="s">
        <v>1343</v>
      </c>
      <c r="B434" s="121"/>
      <c r="C434" s="121"/>
      <c r="D434" s="121"/>
      <c r="E434" s="121"/>
      <c r="F434" s="121"/>
      <c r="G434" s="121"/>
      <c r="H434" s="121"/>
      <c r="I434" s="121"/>
      <c r="J434" s="121"/>
      <c r="K434" s="121"/>
      <c r="L434" s="121"/>
      <c r="M434" s="121"/>
      <c r="N434" s="121"/>
    </row>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M1"/>
    <mergeCell ref="A434:N43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3" min="3" style="1" width="16"/>
    <col collapsed="false" customWidth="true" hidden="false" outlineLevel="0" max="4" min="4" style="1" width="26"/>
    <col collapsed="false" customWidth="true" hidden="false" outlineLevel="0" max="5" min="5" style="1" width="72"/>
    <col collapsed="false" customWidth="true" hidden="false" outlineLevel="0" max="6" min="6" style="1" width="12"/>
    <col collapsed="false" customWidth="true" hidden="false" outlineLevel="0" max="7" min="7" style="1" width="22"/>
    <col collapsed="false" customWidth="true" hidden="false" outlineLevel="0" max="8" min="8" style="1" width="20"/>
  </cols>
  <sheetData>
    <row r="1" customFormat="false" ht="16.5" hidden="false" customHeight="true" outlineLevel="0" collapsed="false">
      <c r="A1" s="20" t="s">
        <v>1344</v>
      </c>
    </row>
    <row r="2" customFormat="false" ht="61.5" hidden="false" customHeight="true" outlineLevel="0" collapsed="false">
      <c r="A2" s="122" t="s">
        <v>1345</v>
      </c>
      <c r="B2" s="122" t="s">
        <v>1346</v>
      </c>
      <c r="C2" s="122" t="s">
        <v>1347</v>
      </c>
      <c r="D2" s="122" t="s">
        <v>1348</v>
      </c>
      <c r="E2" s="122" t="s">
        <v>1349</v>
      </c>
      <c r="F2" s="122" t="s">
        <v>1350</v>
      </c>
      <c r="G2" s="122" t="s">
        <v>1351</v>
      </c>
      <c r="H2" s="123" t="s">
        <v>1009</v>
      </c>
    </row>
    <row r="3" customFormat="false" ht="73.5" hidden="false" customHeight="true" outlineLevel="0" collapsed="false">
      <c r="A3" s="124" t="s">
        <v>530</v>
      </c>
      <c r="B3" s="124" t="n">
        <v>1</v>
      </c>
      <c r="C3" s="124" t="s">
        <v>1352</v>
      </c>
      <c r="D3" s="124" t="s">
        <v>1353</v>
      </c>
      <c r="E3" s="124" t="s">
        <v>1354</v>
      </c>
      <c r="F3" s="124" t="s">
        <v>1355</v>
      </c>
      <c r="G3" s="124"/>
      <c r="H3" s="124" t="s">
        <v>1356</v>
      </c>
    </row>
    <row r="4" customFormat="false" ht="73.5" hidden="false" customHeight="true" outlineLevel="0" collapsed="false">
      <c r="A4" s="124" t="s">
        <v>614</v>
      </c>
      <c r="B4" s="124" t="n">
        <v>1</v>
      </c>
      <c r="C4" s="124" t="s">
        <v>1352</v>
      </c>
      <c r="D4" s="124" t="s">
        <v>1357</v>
      </c>
      <c r="E4" s="124" t="s">
        <v>1358</v>
      </c>
      <c r="F4" s="124" t="s">
        <v>1355</v>
      </c>
      <c r="G4" s="124"/>
      <c r="H4" s="124" t="s">
        <v>1356</v>
      </c>
    </row>
    <row r="5" customFormat="false" ht="73.5" hidden="false" customHeight="true" outlineLevel="0" collapsed="false">
      <c r="A5" s="124" t="s">
        <v>619</v>
      </c>
      <c r="B5" s="124" t="n">
        <v>1</v>
      </c>
      <c r="C5" s="124" t="s">
        <v>1352</v>
      </c>
      <c r="D5" s="124" t="s">
        <v>1359</v>
      </c>
      <c r="E5" s="124" t="s">
        <v>1360</v>
      </c>
      <c r="F5" s="124" t="s">
        <v>1355</v>
      </c>
      <c r="G5" s="124"/>
      <c r="H5" s="124" t="s">
        <v>1356</v>
      </c>
    </row>
    <row r="6" customFormat="false" ht="73.5" hidden="false" customHeight="true" outlineLevel="0" collapsed="false">
      <c r="A6" s="124" t="s">
        <v>627</v>
      </c>
      <c r="B6" s="124" t="n">
        <v>1</v>
      </c>
      <c r="C6" s="124" t="s">
        <v>1352</v>
      </c>
      <c r="D6" s="124" t="s">
        <v>1361</v>
      </c>
      <c r="E6" s="124" t="s">
        <v>1362</v>
      </c>
      <c r="F6" s="124" t="s">
        <v>1363</v>
      </c>
      <c r="G6" s="124"/>
      <c r="H6" s="124" t="s">
        <v>1356</v>
      </c>
    </row>
    <row r="7" customFormat="false" ht="73.5" hidden="false" customHeight="true" outlineLevel="0" collapsed="false">
      <c r="A7" s="124" t="s">
        <v>643</v>
      </c>
      <c r="B7" s="124" t="n">
        <v>1</v>
      </c>
      <c r="C7" s="124" t="s">
        <v>1352</v>
      </c>
      <c r="D7" s="124" t="s">
        <v>1364</v>
      </c>
      <c r="E7" s="124" t="s">
        <v>1365</v>
      </c>
      <c r="F7" s="124" t="s">
        <v>1355</v>
      </c>
      <c r="G7" s="124"/>
      <c r="H7" s="124" t="s">
        <v>1356</v>
      </c>
    </row>
    <row r="8" customFormat="false" ht="73.5" hidden="false" customHeight="true" outlineLevel="0" collapsed="false">
      <c r="A8" s="124" t="s">
        <v>623</v>
      </c>
      <c r="B8" s="124" t="n">
        <v>1</v>
      </c>
      <c r="C8" s="124" t="s">
        <v>1352</v>
      </c>
      <c r="D8" s="124" t="s">
        <v>1366</v>
      </c>
      <c r="E8" s="124" t="s">
        <v>1367</v>
      </c>
      <c r="F8" s="124" t="s">
        <v>1363</v>
      </c>
      <c r="G8" s="124"/>
      <c r="H8" s="124" t="s">
        <v>1356</v>
      </c>
    </row>
    <row r="9" customFormat="false" ht="73.5" hidden="false" customHeight="true" outlineLevel="0" collapsed="false">
      <c r="A9" s="124" t="s">
        <v>631</v>
      </c>
      <c r="B9" s="124" t="n">
        <v>1</v>
      </c>
      <c r="C9" s="124" t="s">
        <v>1352</v>
      </c>
      <c r="D9" s="124" t="s">
        <v>1368</v>
      </c>
      <c r="E9" s="124" t="s">
        <v>1369</v>
      </c>
      <c r="F9" s="124" t="s">
        <v>1355</v>
      </c>
      <c r="G9" s="124"/>
      <c r="H9" s="124" t="s">
        <v>1356</v>
      </c>
    </row>
    <row r="10" customFormat="false" ht="73.5" hidden="false" customHeight="true" outlineLevel="0" collapsed="false">
      <c r="A10" s="124" t="s">
        <v>635</v>
      </c>
      <c r="B10" s="124" t="n">
        <v>1</v>
      </c>
      <c r="C10" s="124" t="s">
        <v>1352</v>
      </c>
      <c r="D10" s="124" t="s">
        <v>1370</v>
      </c>
      <c r="E10" s="124" t="s">
        <v>1371</v>
      </c>
      <c r="F10" s="124" t="s">
        <v>1363</v>
      </c>
      <c r="G10" s="124"/>
      <c r="H10" s="124" t="s">
        <v>1356</v>
      </c>
    </row>
    <row r="11" customFormat="false" ht="73.5" hidden="false" customHeight="true" outlineLevel="0" collapsed="false">
      <c r="A11" s="124" t="s">
        <v>639</v>
      </c>
      <c r="B11" s="124" t="n">
        <v>1</v>
      </c>
      <c r="C11" s="124" t="s">
        <v>1352</v>
      </c>
      <c r="D11" s="124" t="s">
        <v>1372</v>
      </c>
      <c r="E11" s="124" t="s">
        <v>1373</v>
      </c>
      <c r="F11" s="124" t="s">
        <v>1355</v>
      </c>
      <c r="G11" s="124"/>
      <c r="H11" s="124" t="s">
        <v>1356</v>
      </c>
    </row>
    <row r="12" customFormat="false" ht="73.5" hidden="false" customHeight="true" outlineLevel="0" collapsed="false">
      <c r="A12" s="124" t="s">
        <v>757</v>
      </c>
      <c r="B12" s="124" t="n">
        <v>1</v>
      </c>
      <c r="C12" s="124" t="s">
        <v>1352</v>
      </c>
      <c r="D12" s="124" t="s">
        <v>1374</v>
      </c>
      <c r="E12" s="124" t="s">
        <v>1375</v>
      </c>
      <c r="F12" s="124" t="s">
        <v>1363</v>
      </c>
      <c r="G12" s="124"/>
      <c r="H12" s="124" t="s">
        <v>1356</v>
      </c>
    </row>
    <row r="13" customFormat="false" ht="73.5" hidden="false" customHeight="true" outlineLevel="0" collapsed="false">
      <c r="A13" s="124" t="s">
        <v>589</v>
      </c>
      <c r="B13" s="124" t="n">
        <v>1</v>
      </c>
      <c r="C13" s="124" t="s">
        <v>1352</v>
      </c>
      <c r="D13" s="124" t="s">
        <v>1376</v>
      </c>
      <c r="E13" s="124" t="s">
        <v>1377</v>
      </c>
      <c r="F13" s="124" t="s">
        <v>1363</v>
      </c>
      <c r="G13" s="124"/>
      <c r="H13" s="124" t="s">
        <v>1356</v>
      </c>
    </row>
    <row r="14" customFormat="false" ht="73.5" hidden="false" customHeight="true" outlineLevel="0" collapsed="false">
      <c r="A14" s="124" t="s">
        <v>593</v>
      </c>
      <c r="B14" s="124" t="n">
        <v>1</v>
      </c>
      <c r="C14" s="124" t="s">
        <v>1352</v>
      </c>
      <c r="D14" s="124" t="s">
        <v>1378</v>
      </c>
      <c r="E14" s="124" t="s">
        <v>1379</v>
      </c>
      <c r="F14" s="124" t="s">
        <v>1363</v>
      </c>
      <c r="G14" s="124"/>
      <c r="H14" s="124" t="s">
        <v>1356</v>
      </c>
    </row>
    <row r="15" customFormat="false" ht="73.5" hidden="false" customHeight="true" outlineLevel="0" collapsed="false">
      <c r="A15" s="124" t="s">
        <v>601</v>
      </c>
      <c r="B15" s="124" t="n">
        <v>1</v>
      </c>
      <c r="C15" s="124" t="s">
        <v>1352</v>
      </c>
      <c r="D15" s="124" t="s">
        <v>1380</v>
      </c>
      <c r="E15" s="124" t="s">
        <v>1381</v>
      </c>
      <c r="F15" s="124" t="s">
        <v>1355</v>
      </c>
      <c r="G15" s="124"/>
      <c r="H15" s="124" t="s">
        <v>1356</v>
      </c>
    </row>
    <row r="16" customFormat="false" ht="73.5" hidden="false" customHeight="true" outlineLevel="0" collapsed="false">
      <c r="A16" s="124" t="s">
        <v>597</v>
      </c>
      <c r="B16" s="124" t="n">
        <v>1</v>
      </c>
      <c r="C16" s="124" t="s">
        <v>1352</v>
      </c>
      <c r="D16" s="124" t="s">
        <v>1382</v>
      </c>
      <c r="E16" s="124" t="s">
        <v>1383</v>
      </c>
      <c r="F16" s="124" t="s">
        <v>1355</v>
      </c>
      <c r="G16" s="124"/>
      <c r="H16" s="124" t="s">
        <v>1356</v>
      </c>
    </row>
    <row r="17" customFormat="false" ht="73.5" hidden="false" customHeight="true" outlineLevel="0" collapsed="false">
      <c r="A17" s="124" t="s">
        <v>750</v>
      </c>
      <c r="B17" s="124" t="n">
        <v>1</v>
      </c>
      <c r="C17" s="124" t="s">
        <v>1352</v>
      </c>
      <c r="D17" s="124" t="s">
        <v>1384</v>
      </c>
      <c r="E17" s="124" t="s">
        <v>1385</v>
      </c>
      <c r="F17" s="124" t="s">
        <v>1363</v>
      </c>
      <c r="G17" s="124"/>
      <c r="H17" s="124" t="s">
        <v>1356</v>
      </c>
    </row>
    <row r="18" customFormat="false" ht="73.5" hidden="false" customHeight="true" outlineLevel="0" collapsed="false">
      <c r="A18" s="124" t="s">
        <v>754</v>
      </c>
      <c r="B18" s="124" t="n">
        <v>1</v>
      </c>
      <c r="C18" s="124" t="s">
        <v>1352</v>
      </c>
      <c r="D18" s="124" t="s">
        <v>1386</v>
      </c>
      <c r="E18" s="124" t="s">
        <v>1387</v>
      </c>
      <c r="F18" s="124" t="s">
        <v>1363</v>
      </c>
      <c r="G18" s="124"/>
      <c r="H18" s="124" t="s">
        <v>1356</v>
      </c>
    </row>
    <row r="19" customFormat="false" ht="73.5" hidden="false" customHeight="true" outlineLevel="0" collapsed="false">
      <c r="A19" s="124" t="s">
        <v>760</v>
      </c>
      <c r="B19" s="124" t="n">
        <v>1</v>
      </c>
      <c r="C19" s="124" t="s">
        <v>1352</v>
      </c>
      <c r="D19" s="124" t="s">
        <v>1388</v>
      </c>
      <c r="E19" s="124" t="s">
        <v>1389</v>
      </c>
      <c r="F19" s="124" t="s">
        <v>1363</v>
      </c>
      <c r="G19" s="124"/>
      <c r="H19" s="124" t="s">
        <v>1356</v>
      </c>
    </row>
    <row r="20" customFormat="false" ht="73.5" hidden="false" customHeight="true" outlineLevel="0" collapsed="false">
      <c r="A20" s="124" t="s">
        <v>763</v>
      </c>
      <c r="B20" s="124" t="n">
        <v>1</v>
      </c>
      <c r="C20" s="124" t="s">
        <v>1352</v>
      </c>
      <c r="D20" s="124" t="s">
        <v>1390</v>
      </c>
      <c r="E20" s="124" t="s">
        <v>1391</v>
      </c>
      <c r="F20" s="124" t="s">
        <v>1355</v>
      </c>
      <c r="G20" s="124"/>
      <c r="H20" s="124" t="s">
        <v>1356</v>
      </c>
    </row>
    <row r="21" customFormat="false" ht="73.5" hidden="false" customHeight="true" outlineLevel="0" collapsed="false">
      <c r="A21" s="124" t="s">
        <v>766</v>
      </c>
      <c r="B21" s="124" t="n">
        <v>1</v>
      </c>
      <c r="C21" s="124" t="s">
        <v>1352</v>
      </c>
      <c r="D21" s="124" t="s">
        <v>1392</v>
      </c>
      <c r="E21" s="124" t="s">
        <v>1393</v>
      </c>
      <c r="F21" s="124" t="s">
        <v>1363</v>
      </c>
      <c r="G21" s="124"/>
      <c r="H21" s="124" t="s">
        <v>1356</v>
      </c>
    </row>
    <row r="22" customFormat="false" ht="73.5" hidden="false" customHeight="true" outlineLevel="0" collapsed="false">
      <c r="A22" s="124" t="s">
        <v>769</v>
      </c>
      <c r="B22" s="124" t="n">
        <v>1</v>
      </c>
      <c r="C22" s="124" t="s">
        <v>1352</v>
      </c>
      <c r="D22" s="124" t="s">
        <v>1394</v>
      </c>
      <c r="E22" s="124" t="s">
        <v>1395</v>
      </c>
      <c r="F22" s="124" t="s">
        <v>1363</v>
      </c>
      <c r="G22" s="124"/>
      <c r="H22" s="124" t="s">
        <v>1356</v>
      </c>
    </row>
    <row r="23" customFormat="false" ht="73.5" hidden="false" customHeight="true" outlineLevel="0" collapsed="false">
      <c r="A23" s="124" t="s">
        <v>782</v>
      </c>
      <c r="B23" s="124" t="n">
        <v>1</v>
      </c>
      <c r="C23" s="124" t="s">
        <v>1352</v>
      </c>
      <c r="D23" s="124" t="s">
        <v>1396</v>
      </c>
      <c r="E23" s="124" t="s">
        <v>1397</v>
      </c>
      <c r="F23" s="124" t="s">
        <v>1363</v>
      </c>
      <c r="G23" s="124"/>
      <c r="H23" s="124" t="s">
        <v>1356</v>
      </c>
    </row>
    <row r="24" customFormat="false" ht="73.5" hidden="false" customHeight="true" outlineLevel="0" collapsed="false">
      <c r="A24" s="124" t="s">
        <v>610</v>
      </c>
      <c r="B24" s="124" t="n">
        <v>1</v>
      </c>
      <c r="C24" s="124" t="s">
        <v>1352</v>
      </c>
      <c r="D24" s="124" t="s">
        <v>1398</v>
      </c>
      <c r="E24" s="124" t="s">
        <v>1399</v>
      </c>
      <c r="F24" s="124" t="s">
        <v>1355</v>
      </c>
      <c r="G24" s="124"/>
      <c r="H24" s="124" t="s">
        <v>1356</v>
      </c>
    </row>
    <row r="25" customFormat="false" ht="73.5" hidden="false" customHeight="true" outlineLevel="0" collapsed="false">
      <c r="A25" s="124" t="s">
        <v>791</v>
      </c>
      <c r="B25" s="124" t="n">
        <v>1</v>
      </c>
      <c r="C25" s="124" t="s">
        <v>1352</v>
      </c>
      <c r="D25" s="124" t="s">
        <v>1400</v>
      </c>
      <c r="E25" s="124" t="s">
        <v>1401</v>
      </c>
      <c r="F25" s="124" t="s">
        <v>1363</v>
      </c>
      <c r="G25" s="124"/>
      <c r="H25" s="124" t="s">
        <v>1356</v>
      </c>
    </row>
    <row r="26" customFormat="false" ht="73.5" hidden="false" customHeight="true" outlineLevel="0" collapsed="false">
      <c r="A26" s="124" t="s">
        <v>800</v>
      </c>
      <c r="B26" s="124" t="n">
        <v>1</v>
      </c>
      <c r="C26" s="124" t="s">
        <v>1352</v>
      </c>
      <c r="D26" s="124" t="s">
        <v>1402</v>
      </c>
      <c r="E26" s="124" t="s">
        <v>1403</v>
      </c>
      <c r="F26" s="124" t="s">
        <v>1355</v>
      </c>
      <c r="G26" s="124"/>
      <c r="H26" s="124" t="s">
        <v>1356</v>
      </c>
    </row>
    <row r="27" customFormat="false" ht="73.5" hidden="false" customHeight="true" outlineLevel="0" collapsed="false">
      <c r="A27" s="124" t="s">
        <v>803</v>
      </c>
      <c r="B27" s="124" t="n">
        <v>1</v>
      </c>
      <c r="C27" s="124" t="s">
        <v>1352</v>
      </c>
      <c r="D27" s="124" t="s">
        <v>1404</v>
      </c>
      <c r="E27" s="124" t="s">
        <v>1405</v>
      </c>
      <c r="F27" s="124" t="s">
        <v>1363</v>
      </c>
      <c r="G27" s="124"/>
      <c r="H27" s="124" t="s">
        <v>1356</v>
      </c>
    </row>
    <row r="28" customFormat="false" ht="73.5" hidden="false" customHeight="true" outlineLevel="0" collapsed="false">
      <c r="A28" s="124" t="s">
        <v>651</v>
      </c>
      <c r="B28" s="124" t="n">
        <v>1</v>
      </c>
      <c r="C28" s="124" t="s">
        <v>1352</v>
      </c>
      <c r="D28" s="124" t="s">
        <v>1406</v>
      </c>
      <c r="E28" s="124" t="s">
        <v>1407</v>
      </c>
      <c r="F28" s="124" t="s">
        <v>1355</v>
      </c>
      <c r="G28" s="124"/>
      <c r="H28" s="124" t="s">
        <v>1356</v>
      </c>
    </row>
    <row r="29" customFormat="false" ht="73.5" hidden="false" customHeight="true" outlineLevel="0" collapsed="false">
      <c r="A29" s="124" t="s">
        <v>734</v>
      </c>
      <c r="B29" s="124" t="n">
        <v>1</v>
      </c>
      <c r="C29" s="124" t="s">
        <v>1352</v>
      </c>
      <c r="D29" s="124" t="s">
        <v>1408</v>
      </c>
      <c r="E29" s="124" t="s">
        <v>1409</v>
      </c>
      <c r="F29" s="124" t="s">
        <v>1363</v>
      </c>
      <c r="G29" s="124"/>
      <c r="H29" s="124" t="s">
        <v>1356</v>
      </c>
    </row>
    <row r="30" customFormat="false" ht="73.5" hidden="false" customHeight="true" outlineLevel="0" collapsed="false">
      <c r="A30" s="124" t="s">
        <v>738</v>
      </c>
      <c r="B30" s="124" t="n">
        <v>1</v>
      </c>
      <c r="C30" s="124" t="s">
        <v>1352</v>
      </c>
      <c r="D30" s="124" t="s">
        <v>1410</v>
      </c>
      <c r="E30" s="124" t="s">
        <v>1411</v>
      </c>
      <c r="F30" s="124" t="s">
        <v>1363</v>
      </c>
      <c r="G30" s="124"/>
      <c r="H30" s="124" t="s">
        <v>1356</v>
      </c>
    </row>
    <row r="31" customFormat="false" ht="73.5" hidden="false" customHeight="true" outlineLevel="0" collapsed="false">
      <c r="A31" s="124" t="s">
        <v>597</v>
      </c>
      <c r="B31" s="124" t="n">
        <v>2</v>
      </c>
      <c r="C31" s="124" t="s">
        <v>1412</v>
      </c>
      <c r="D31" s="124" t="s">
        <v>1413</v>
      </c>
      <c r="E31" s="124" t="s">
        <v>1414</v>
      </c>
      <c r="F31" s="124" t="s">
        <v>1355</v>
      </c>
      <c r="G31" s="124" t="s">
        <v>530</v>
      </c>
      <c r="H31" s="125" t="s">
        <v>1415</v>
      </c>
    </row>
    <row r="32" customFormat="false" ht="73.5" hidden="false" customHeight="true" outlineLevel="0" collapsed="false">
      <c r="A32" s="124" t="s">
        <v>605</v>
      </c>
      <c r="B32" s="125" t="n">
        <v>1</v>
      </c>
      <c r="C32" s="124" t="s">
        <v>1416</v>
      </c>
      <c r="D32" s="124" t="s">
        <v>1417</v>
      </c>
      <c r="E32" s="124" t="s">
        <v>1418</v>
      </c>
      <c r="F32" s="124" t="s">
        <v>1355</v>
      </c>
      <c r="G32" s="125"/>
      <c r="H32" s="124" t="s">
        <v>1419</v>
      </c>
    </row>
    <row r="33" customFormat="false" ht="73.5" hidden="false" customHeight="true" outlineLevel="0" collapsed="false">
      <c r="A33" s="124" t="s">
        <v>809</v>
      </c>
      <c r="B33" s="125" t="n">
        <v>1</v>
      </c>
      <c r="C33" s="124" t="s">
        <v>1420</v>
      </c>
      <c r="D33" s="124" t="s">
        <v>1421</v>
      </c>
      <c r="E33" s="124" t="s">
        <v>1422</v>
      </c>
      <c r="F33" s="124" t="s">
        <v>1423</v>
      </c>
      <c r="G33" s="124" t="s">
        <v>605</v>
      </c>
      <c r="H33" s="124" t="s">
        <v>1424</v>
      </c>
    </row>
    <row r="34" customFormat="false" ht="73.5" hidden="false" customHeight="true" outlineLevel="0" collapsed="false">
      <c r="A34" s="124" t="s">
        <v>794</v>
      </c>
      <c r="B34" s="125" t="n">
        <v>1</v>
      </c>
      <c r="C34" s="124" t="s">
        <v>1420</v>
      </c>
      <c r="D34" s="124" t="s">
        <v>1425</v>
      </c>
      <c r="E34" s="124" t="s">
        <v>1426</v>
      </c>
      <c r="F34" s="124" t="s">
        <v>1363</v>
      </c>
      <c r="G34" s="124" t="s">
        <v>687</v>
      </c>
      <c r="H34" s="124" t="s">
        <v>1427</v>
      </c>
    </row>
    <row r="35" customFormat="false" ht="73.5" hidden="false" customHeight="true" outlineLevel="0" collapsed="false">
      <c r="A35" s="124" t="s">
        <v>531</v>
      </c>
      <c r="B35" s="125" t="n">
        <v>1</v>
      </c>
      <c r="C35" s="124" t="s">
        <v>1428</v>
      </c>
      <c r="D35" s="124" t="s">
        <v>1429</v>
      </c>
      <c r="E35" s="124" t="s">
        <v>1430</v>
      </c>
      <c r="F35" s="124" t="s">
        <v>1355</v>
      </c>
      <c r="G35" s="125"/>
      <c r="H35" s="124" t="s">
        <v>1431</v>
      </c>
    </row>
    <row r="36" customFormat="false" ht="73.5" hidden="false" customHeight="true" outlineLevel="0" collapsed="false">
      <c r="A36" s="124" t="s">
        <v>605</v>
      </c>
      <c r="B36" s="125" t="n">
        <v>2</v>
      </c>
      <c r="C36" s="124" t="s">
        <v>1428</v>
      </c>
      <c r="D36" s="124" t="s">
        <v>1432</v>
      </c>
      <c r="E36" s="124" t="s">
        <v>1433</v>
      </c>
      <c r="F36" s="124" t="s">
        <v>1355</v>
      </c>
      <c r="G36" s="125"/>
      <c r="H36" s="124" t="s">
        <v>1431</v>
      </c>
    </row>
    <row r="37" customFormat="false" ht="73.5" hidden="false" customHeight="true" outlineLevel="0" collapsed="false">
      <c r="A37" s="124" t="s">
        <v>785</v>
      </c>
      <c r="B37" s="125" t="n">
        <v>1</v>
      </c>
      <c r="C37" s="124" t="s">
        <v>1428</v>
      </c>
      <c r="D37" s="124" t="s">
        <v>1434</v>
      </c>
      <c r="E37" s="124" t="s">
        <v>1435</v>
      </c>
      <c r="F37" s="124" t="s">
        <v>1355</v>
      </c>
      <c r="G37" s="125"/>
      <c r="H37" s="124" t="s">
        <v>1431</v>
      </c>
    </row>
    <row r="38" customFormat="false" ht="73.5" hidden="false" customHeight="true" outlineLevel="0" collapsed="false">
      <c r="A38" s="124" t="s">
        <v>797</v>
      </c>
      <c r="B38" s="125" t="n">
        <v>1</v>
      </c>
      <c r="C38" s="124" t="s">
        <v>1428</v>
      </c>
      <c r="D38" s="124" t="s">
        <v>1436</v>
      </c>
      <c r="E38" s="124" t="s">
        <v>1437</v>
      </c>
      <c r="F38" s="124" t="s">
        <v>1355</v>
      </c>
      <c r="G38" s="125"/>
      <c r="H38" s="124" t="s">
        <v>1431</v>
      </c>
    </row>
    <row r="39" customFormat="false" ht="73.5" hidden="false" customHeight="true" outlineLevel="0" collapsed="false">
      <c r="A39" s="124" t="s">
        <v>647</v>
      </c>
      <c r="B39" s="125" t="n">
        <v>1</v>
      </c>
      <c r="C39" s="124" t="s">
        <v>1428</v>
      </c>
      <c r="D39" s="124" t="s">
        <v>1438</v>
      </c>
      <c r="E39" s="124" t="s">
        <v>1439</v>
      </c>
      <c r="F39" s="124" t="s">
        <v>1355</v>
      </c>
      <c r="G39" s="125"/>
      <c r="H39" s="124" t="s">
        <v>1431</v>
      </c>
    </row>
    <row r="40" customFormat="false" ht="73.5" hidden="false" customHeight="true" outlineLevel="0" collapsed="false">
      <c r="A40" s="124" t="s">
        <v>659</v>
      </c>
      <c r="B40" s="125" t="n">
        <v>1</v>
      </c>
      <c r="C40" s="124" t="s">
        <v>1428</v>
      </c>
      <c r="D40" s="124" t="s">
        <v>1440</v>
      </c>
      <c r="E40" s="124" t="s">
        <v>1441</v>
      </c>
      <c r="F40" s="124" t="s">
        <v>1355</v>
      </c>
      <c r="G40" s="125"/>
      <c r="H40" s="124" t="s">
        <v>1431</v>
      </c>
    </row>
    <row r="41" customFormat="false" ht="73.5" hidden="false" customHeight="true" outlineLevel="0" collapsed="false">
      <c r="A41" s="124" t="s">
        <v>663</v>
      </c>
      <c r="B41" s="125" t="n">
        <v>1</v>
      </c>
      <c r="C41" s="124" t="s">
        <v>1428</v>
      </c>
      <c r="D41" s="124" t="s">
        <v>1442</v>
      </c>
      <c r="E41" s="124" t="s">
        <v>1443</v>
      </c>
      <c r="F41" s="124" t="s">
        <v>1355</v>
      </c>
      <c r="G41" s="125"/>
      <c r="H41" s="124" t="s">
        <v>1431</v>
      </c>
    </row>
    <row r="42" customFormat="false" ht="73.5" hidden="false" customHeight="true" outlineLevel="0" collapsed="false">
      <c r="A42" s="124" t="s">
        <v>671</v>
      </c>
      <c r="B42" s="125" t="n">
        <v>1</v>
      </c>
      <c r="C42" s="124" t="s">
        <v>1428</v>
      </c>
      <c r="D42" s="124" t="s">
        <v>1444</v>
      </c>
      <c r="E42" s="124" t="s">
        <v>1445</v>
      </c>
      <c r="F42" s="124" t="s">
        <v>1355</v>
      </c>
      <c r="G42" s="125"/>
      <c r="H42" s="124" t="s">
        <v>1431</v>
      </c>
    </row>
    <row r="43" customFormat="false" ht="73.5" hidden="false" customHeight="true" outlineLevel="0" collapsed="false">
      <c r="A43" s="124" t="s">
        <v>675</v>
      </c>
      <c r="B43" s="125" t="n">
        <v>1</v>
      </c>
      <c r="C43" s="124" t="s">
        <v>1428</v>
      </c>
      <c r="D43" s="124" t="s">
        <v>1446</v>
      </c>
      <c r="E43" s="124" t="s">
        <v>1447</v>
      </c>
      <c r="F43" s="124" t="s">
        <v>1355</v>
      </c>
      <c r="G43" s="125"/>
      <c r="H43" s="124" t="s">
        <v>1431</v>
      </c>
    </row>
    <row r="44" customFormat="false" ht="73.5" hidden="false" customHeight="true" outlineLevel="0" collapsed="false">
      <c r="A44" s="124" t="s">
        <v>683</v>
      </c>
      <c r="B44" s="125" t="n">
        <v>1</v>
      </c>
      <c r="C44" s="124" t="s">
        <v>1428</v>
      </c>
      <c r="D44" s="124" t="s">
        <v>1448</v>
      </c>
      <c r="E44" s="124" t="s">
        <v>1449</v>
      </c>
      <c r="F44" s="124" t="s">
        <v>1355</v>
      </c>
      <c r="G44" s="125"/>
      <c r="H44" s="124" t="s">
        <v>1431</v>
      </c>
    </row>
    <row r="45" customFormat="false" ht="73.5" hidden="false" customHeight="true" outlineLevel="0" collapsed="false">
      <c r="A45" s="124" t="s">
        <v>687</v>
      </c>
      <c r="B45" s="125" t="n">
        <v>1</v>
      </c>
      <c r="C45" s="124" t="s">
        <v>1428</v>
      </c>
      <c r="D45" s="124" t="s">
        <v>1450</v>
      </c>
      <c r="E45" s="124" t="s">
        <v>1451</v>
      </c>
      <c r="F45" s="124" t="s">
        <v>1355</v>
      </c>
      <c r="G45" s="125"/>
      <c r="H45" s="124" t="s">
        <v>1431</v>
      </c>
    </row>
    <row r="46" customFormat="false" ht="73.5" hidden="false" customHeight="true" outlineLevel="0" collapsed="false">
      <c r="A46" s="124" t="s">
        <v>691</v>
      </c>
      <c r="B46" s="125" t="n">
        <v>1</v>
      </c>
      <c r="C46" s="124" t="s">
        <v>1428</v>
      </c>
      <c r="D46" s="124" t="s">
        <v>1452</v>
      </c>
      <c r="E46" s="124" t="s">
        <v>1453</v>
      </c>
      <c r="F46" s="124" t="s">
        <v>1355</v>
      </c>
      <c r="G46" s="125"/>
      <c r="H46" s="124" t="s">
        <v>1431</v>
      </c>
    </row>
    <row r="47" customFormat="false" ht="73.5" hidden="false" customHeight="true" outlineLevel="0" collapsed="false">
      <c r="A47" s="124" t="s">
        <v>815</v>
      </c>
      <c r="B47" s="125" t="n">
        <v>1</v>
      </c>
      <c r="C47" s="124" t="s">
        <v>1428</v>
      </c>
      <c r="D47" s="124" t="s">
        <v>1454</v>
      </c>
      <c r="E47" s="124" t="s">
        <v>1455</v>
      </c>
      <c r="F47" s="124" t="s">
        <v>1355</v>
      </c>
      <c r="G47" s="125"/>
      <c r="H47" s="124" t="s">
        <v>1431</v>
      </c>
    </row>
    <row r="48" customFormat="false" ht="73.5" hidden="false" customHeight="true" outlineLevel="0" collapsed="false">
      <c r="A48" s="124" t="s">
        <v>821</v>
      </c>
      <c r="B48" s="125" t="n">
        <v>1</v>
      </c>
      <c r="C48" s="124" t="s">
        <v>1428</v>
      </c>
      <c r="D48" s="124" t="s">
        <v>1456</v>
      </c>
      <c r="E48" s="124" t="s">
        <v>1457</v>
      </c>
      <c r="F48" s="124" t="s">
        <v>1355</v>
      </c>
      <c r="G48" s="125"/>
      <c r="H48" s="124" t="s">
        <v>1431</v>
      </c>
    </row>
    <row r="49" customFormat="false" ht="73.5" hidden="false" customHeight="true" outlineLevel="0" collapsed="false">
      <c r="A49" s="124" t="s">
        <v>833</v>
      </c>
      <c r="B49" s="125" t="n">
        <v>1</v>
      </c>
      <c r="C49" s="124" t="s">
        <v>1428</v>
      </c>
      <c r="D49" s="124" t="s">
        <v>1458</v>
      </c>
      <c r="E49" s="124" t="s">
        <v>1459</v>
      </c>
      <c r="F49" s="124" t="s">
        <v>1355</v>
      </c>
      <c r="G49" s="125"/>
      <c r="H49" s="124" t="s">
        <v>1431</v>
      </c>
    </row>
    <row r="50" customFormat="false" ht="73.5" hidden="false" customHeight="true" outlineLevel="0" collapsed="false">
      <c r="A50" s="124" t="s">
        <v>851</v>
      </c>
      <c r="B50" s="125" t="n">
        <v>1</v>
      </c>
      <c r="C50" s="124" t="s">
        <v>1428</v>
      </c>
      <c r="D50" s="124" t="s">
        <v>1460</v>
      </c>
      <c r="E50" s="124" t="s">
        <v>1461</v>
      </c>
      <c r="F50" s="124" t="s">
        <v>1355</v>
      </c>
      <c r="G50" s="125"/>
      <c r="H50" s="124" t="s">
        <v>1431</v>
      </c>
    </row>
    <row r="51" customFormat="false" ht="73.5" hidden="false" customHeight="true" outlineLevel="0" collapsed="false">
      <c r="A51" s="124" t="s">
        <v>921</v>
      </c>
      <c r="B51" s="125" t="n">
        <v>1</v>
      </c>
      <c r="C51" s="124" t="s">
        <v>1428</v>
      </c>
      <c r="D51" s="124" t="s">
        <v>1462</v>
      </c>
      <c r="E51" s="124" t="s">
        <v>1463</v>
      </c>
      <c r="F51" s="124" t="s">
        <v>1355</v>
      </c>
      <c r="G51" s="125"/>
      <c r="H51" s="124" t="s">
        <v>1431</v>
      </c>
    </row>
    <row r="52" customFormat="false" ht="73.5" hidden="false" customHeight="true" outlineLevel="0" collapsed="false">
      <c r="A52" s="124" t="s">
        <v>924</v>
      </c>
      <c r="B52" s="125" t="n">
        <v>1</v>
      </c>
      <c r="C52" s="124" t="s">
        <v>1428</v>
      </c>
      <c r="D52" s="124" t="s">
        <v>1464</v>
      </c>
      <c r="E52" s="124" t="s">
        <v>1465</v>
      </c>
      <c r="F52" s="124" t="s">
        <v>1363</v>
      </c>
      <c r="G52" s="125"/>
      <c r="H52" s="124" t="s">
        <v>1431</v>
      </c>
    </row>
    <row r="53" customFormat="false" ht="73.5" hidden="false" customHeight="true" outlineLevel="0" collapsed="false">
      <c r="A53" s="124" t="s">
        <v>927</v>
      </c>
      <c r="B53" s="125" t="n">
        <v>1</v>
      </c>
      <c r="C53" s="124" t="s">
        <v>1428</v>
      </c>
      <c r="D53" s="124" t="s">
        <v>1466</v>
      </c>
      <c r="E53" s="124" t="s">
        <v>1467</v>
      </c>
      <c r="F53" s="124" t="s">
        <v>1355</v>
      </c>
      <c r="G53" s="125"/>
      <c r="H53" s="124" t="s">
        <v>1431</v>
      </c>
    </row>
    <row r="54" customFormat="false" ht="73.5" hidden="false" customHeight="true" outlineLevel="0" collapsed="false">
      <c r="A54" s="124" t="s">
        <v>936</v>
      </c>
      <c r="B54" s="125" t="n">
        <v>1</v>
      </c>
      <c r="C54" s="124" t="s">
        <v>1428</v>
      </c>
      <c r="D54" s="124" t="s">
        <v>1468</v>
      </c>
      <c r="E54" s="124" t="s">
        <v>1469</v>
      </c>
      <c r="F54" s="124" t="s">
        <v>1355</v>
      </c>
      <c r="G54" s="125"/>
      <c r="H54" s="124" t="s">
        <v>1431</v>
      </c>
    </row>
    <row r="55" customFormat="false" ht="73.5" hidden="false" customHeight="true" outlineLevel="0" collapsed="false">
      <c r="A55" s="124" t="s">
        <v>939</v>
      </c>
      <c r="B55" s="125" t="n">
        <v>1</v>
      </c>
      <c r="C55" s="124" t="s">
        <v>1428</v>
      </c>
      <c r="D55" s="124" t="s">
        <v>1470</v>
      </c>
      <c r="E55" s="124" t="s">
        <v>1471</v>
      </c>
      <c r="F55" s="124" t="s">
        <v>1355</v>
      </c>
      <c r="G55" s="125"/>
      <c r="H55" s="124" t="s">
        <v>1431</v>
      </c>
    </row>
    <row r="56" customFormat="false" ht="73.5" hidden="false" customHeight="true" outlineLevel="0" collapsed="false">
      <c r="A56" s="124" t="s">
        <v>945</v>
      </c>
      <c r="B56" s="125" t="n">
        <v>1</v>
      </c>
      <c r="C56" s="124" t="s">
        <v>1428</v>
      </c>
      <c r="D56" s="124" t="s">
        <v>1472</v>
      </c>
      <c r="E56" s="124" t="s">
        <v>1473</v>
      </c>
      <c r="F56" s="124" t="s">
        <v>1355</v>
      </c>
      <c r="G56" s="125"/>
      <c r="H56" s="124" t="s">
        <v>1431</v>
      </c>
    </row>
    <row r="57" customFormat="false" ht="73.5" hidden="false" customHeight="true" outlineLevel="0" collapsed="false">
      <c r="A57" s="124" t="s">
        <v>948</v>
      </c>
      <c r="B57" s="125" t="n">
        <v>1</v>
      </c>
      <c r="C57" s="124" t="s">
        <v>1428</v>
      </c>
      <c r="D57" s="124" t="s">
        <v>1474</v>
      </c>
      <c r="E57" s="124" t="s">
        <v>1475</v>
      </c>
      <c r="F57" s="124" t="s">
        <v>1355</v>
      </c>
      <c r="G57" s="125"/>
      <c r="H57" s="124" t="s">
        <v>1431</v>
      </c>
    </row>
    <row r="58" customFormat="false" ht="73.5" hidden="false" customHeight="true" outlineLevel="0" collapsed="false">
      <c r="A58" s="124" t="s">
        <v>951</v>
      </c>
      <c r="B58" s="125" t="n">
        <v>1</v>
      </c>
      <c r="C58" s="124" t="s">
        <v>1428</v>
      </c>
      <c r="D58" s="124" t="s">
        <v>1476</v>
      </c>
      <c r="E58" s="124" t="s">
        <v>1477</v>
      </c>
      <c r="F58" s="124" t="s">
        <v>1355</v>
      </c>
      <c r="G58" s="125"/>
      <c r="H58" s="124" t="s">
        <v>1431</v>
      </c>
    </row>
    <row r="59" customFormat="false" ht="73.5" hidden="false" customHeight="true" outlineLevel="0" collapsed="false">
      <c r="A59" s="124" t="s">
        <v>957</v>
      </c>
      <c r="B59" s="125" t="n">
        <v>1</v>
      </c>
      <c r="C59" s="124" t="s">
        <v>1428</v>
      </c>
      <c r="D59" s="124" t="s">
        <v>1478</v>
      </c>
      <c r="E59" s="124" t="s">
        <v>1479</v>
      </c>
      <c r="F59" s="124" t="s">
        <v>1355</v>
      </c>
      <c r="G59" s="125"/>
      <c r="H59" s="124" t="s">
        <v>1431</v>
      </c>
    </row>
    <row r="60" customFormat="false" ht="73.5" hidden="false" customHeight="true" outlineLevel="0" collapsed="false">
      <c r="A60" s="124" t="s">
        <v>960</v>
      </c>
      <c r="B60" s="125" t="n">
        <v>1</v>
      </c>
      <c r="C60" s="124" t="s">
        <v>1428</v>
      </c>
      <c r="D60" s="124" t="s">
        <v>1480</v>
      </c>
      <c r="E60" s="124" t="s">
        <v>1481</v>
      </c>
      <c r="F60" s="124" t="s">
        <v>1355</v>
      </c>
      <c r="G60" s="125"/>
      <c r="H60" s="124" t="s">
        <v>1431</v>
      </c>
    </row>
    <row r="61" customFormat="false" ht="73.5" hidden="false" customHeight="true" outlineLevel="0" collapsed="false">
      <c r="A61" s="124" t="s">
        <v>963</v>
      </c>
      <c r="B61" s="125" t="n">
        <v>1</v>
      </c>
      <c r="C61" s="124" t="s">
        <v>1428</v>
      </c>
      <c r="D61" s="124" t="s">
        <v>1482</v>
      </c>
      <c r="E61" s="124" t="s">
        <v>1483</v>
      </c>
      <c r="F61" s="124" t="s">
        <v>1355</v>
      </c>
      <c r="G61" s="125"/>
      <c r="H61" s="124" t="s">
        <v>1431</v>
      </c>
    </row>
    <row r="62" customFormat="false" ht="73.5" hidden="false" customHeight="true" outlineLevel="0" collapsed="false">
      <c r="A62" s="124" t="s">
        <v>966</v>
      </c>
      <c r="B62" s="125" t="n">
        <v>1</v>
      </c>
      <c r="C62" s="124" t="s">
        <v>1428</v>
      </c>
      <c r="D62" s="124" t="s">
        <v>1484</v>
      </c>
      <c r="E62" s="124" t="s">
        <v>1485</v>
      </c>
      <c r="F62" s="124" t="s">
        <v>1355</v>
      </c>
      <c r="G62" s="125"/>
      <c r="H62" s="124" t="s">
        <v>1431</v>
      </c>
    </row>
    <row r="63" customFormat="false" ht="73.5" hidden="false" customHeight="true" outlineLevel="0" collapsed="false">
      <c r="A63" s="124" t="s">
        <v>969</v>
      </c>
      <c r="B63" s="125" t="n">
        <v>1</v>
      </c>
      <c r="C63" s="124" t="s">
        <v>1428</v>
      </c>
      <c r="D63" s="124" t="s">
        <v>1486</v>
      </c>
      <c r="E63" s="124" t="s">
        <v>1487</v>
      </c>
      <c r="F63" s="124" t="s">
        <v>1355</v>
      </c>
      <c r="G63" s="125"/>
      <c r="H63" s="124" t="s">
        <v>1431</v>
      </c>
    </row>
    <row r="64" customFormat="false" ht="73.5" hidden="false" customHeight="true" outlineLevel="0" collapsed="false">
      <c r="A64" s="124" t="s">
        <v>972</v>
      </c>
      <c r="B64" s="125" t="n">
        <v>1</v>
      </c>
      <c r="C64" s="124" t="s">
        <v>1428</v>
      </c>
      <c r="D64" s="124" t="s">
        <v>1488</v>
      </c>
      <c r="E64" s="124" t="s">
        <v>1489</v>
      </c>
      <c r="F64" s="124" t="s">
        <v>1355</v>
      </c>
      <c r="G64" s="125"/>
      <c r="H64" s="124" t="s">
        <v>1431</v>
      </c>
    </row>
    <row r="65" customFormat="false" ht="73.5" hidden="false" customHeight="true" outlineLevel="0" collapsed="false">
      <c r="A65" s="124" t="s">
        <v>728</v>
      </c>
      <c r="B65" s="125" t="n">
        <v>1</v>
      </c>
      <c r="C65" s="124" t="s">
        <v>1428</v>
      </c>
      <c r="D65" s="124" t="s">
        <v>1490</v>
      </c>
      <c r="E65" s="124" t="s">
        <v>1491</v>
      </c>
      <c r="F65" s="124" t="s">
        <v>1355</v>
      </c>
      <c r="G65" s="125"/>
      <c r="H65" s="124" t="s">
        <v>1431</v>
      </c>
    </row>
    <row r="66" customFormat="false" ht="73.5" hidden="false" customHeight="true" outlineLevel="0" collapsed="false">
      <c r="A66" s="124" t="s">
        <v>989</v>
      </c>
      <c r="B66" s="125" t="n">
        <v>1</v>
      </c>
      <c r="C66" s="124" t="s">
        <v>1428</v>
      </c>
      <c r="D66" s="124" t="s">
        <v>1492</v>
      </c>
      <c r="E66" s="124" t="s">
        <v>1493</v>
      </c>
      <c r="F66" s="124" t="s">
        <v>1355</v>
      </c>
      <c r="G66" s="125"/>
      <c r="H66" s="124" t="s">
        <v>1431</v>
      </c>
    </row>
    <row r="67" customFormat="false" ht="73.5" hidden="false" customHeight="true" outlineLevel="0" collapsed="false">
      <c r="A67" s="124" t="s">
        <v>532</v>
      </c>
      <c r="B67" s="125" t="n">
        <v>1</v>
      </c>
      <c r="C67" s="124" t="s">
        <v>1416</v>
      </c>
      <c r="D67" s="124" t="s">
        <v>1494</v>
      </c>
      <c r="E67" s="124" t="s">
        <v>1495</v>
      </c>
      <c r="F67" s="124" t="s">
        <v>1355</v>
      </c>
      <c r="G67" s="125"/>
      <c r="H67" s="124" t="s">
        <v>1496</v>
      </c>
    </row>
    <row r="68" customFormat="false" ht="73.5" hidden="false" customHeight="true" outlineLevel="0" collapsed="false">
      <c r="A68" s="124" t="s">
        <v>776</v>
      </c>
      <c r="B68" s="125" t="n">
        <v>1</v>
      </c>
      <c r="C68" s="124" t="s">
        <v>1428</v>
      </c>
      <c r="D68" s="124" t="s">
        <v>1497</v>
      </c>
      <c r="E68" s="124" t="s">
        <v>1498</v>
      </c>
      <c r="F68" s="124" t="s">
        <v>1355</v>
      </c>
      <c r="G68" s="125"/>
      <c r="H68" s="124" t="s">
        <v>1496</v>
      </c>
    </row>
    <row r="69" customFormat="false" ht="73.5" hidden="false" customHeight="true" outlineLevel="0" collapsed="false">
      <c r="A69" s="124" t="s">
        <v>655</v>
      </c>
      <c r="B69" s="125" t="n">
        <v>1</v>
      </c>
      <c r="C69" s="124" t="s">
        <v>1428</v>
      </c>
      <c r="D69" s="124" t="s">
        <v>1499</v>
      </c>
      <c r="E69" s="124" t="s">
        <v>1500</v>
      </c>
      <c r="F69" s="124" t="s">
        <v>1355</v>
      </c>
      <c r="G69" s="125"/>
      <c r="H69" s="124" t="s">
        <v>1496</v>
      </c>
    </row>
    <row r="70" customFormat="false" ht="73.5" hidden="false" customHeight="true" outlineLevel="0" collapsed="false">
      <c r="A70" s="124" t="s">
        <v>667</v>
      </c>
      <c r="B70" s="125" t="n">
        <v>1</v>
      </c>
      <c r="C70" s="124" t="s">
        <v>1416</v>
      </c>
      <c r="D70" s="124" t="s">
        <v>1501</v>
      </c>
      <c r="E70" s="124" t="s">
        <v>1502</v>
      </c>
      <c r="F70" s="124" t="s">
        <v>1355</v>
      </c>
      <c r="G70" s="125"/>
      <c r="H70" s="124" t="s">
        <v>1496</v>
      </c>
    </row>
    <row r="71" customFormat="false" ht="73.5" hidden="false" customHeight="true" outlineLevel="0" collapsed="false">
      <c r="A71" s="124" t="s">
        <v>679</v>
      </c>
      <c r="B71" s="125" t="n">
        <v>1</v>
      </c>
      <c r="C71" s="124" t="s">
        <v>1428</v>
      </c>
      <c r="D71" s="124" t="s">
        <v>1503</v>
      </c>
      <c r="E71" s="124" t="s">
        <v>1504</v>
      </c>
      <c r="F71" s="124" t="s">
        <v>1355</v>
      </c>
      <c r="G71" s="125"/>
      <c r="H71" s="124" t="s">
        <v>1496</v>
      </c>
    </row>
    <row r="72" customFormat="false" ht="73.5" hidden="false" customHeight="true" outlineLevel="0" collapsed="false">
      <c r="A72" s="124" t="s">
        <v>818</v>
      </c>
      <c r="B72" s="125" t="n">
        <v>1</v>
      </c>
      <c r="C72" s="124" t="s">
        <v>1428</v>
      </c>
      <c r="D72" s="124" t="s">
        <v>1505</v>
      </c>
      <c r="E72" s="124" t="s">
        <v>1506</v>
      </c>
      <c r="F72" s="124" t="s">
        <v>1355</v>
      </c>
      <c r="G72" s="125"/>
      <c r="H72" s="124" t="s">
        <v>1496</v>
      </c>
    </row>
    <row r="73" customFormat="false" ht="73.5" hidden="false" customHeight="true" outlineLevel="0" collapsed="false">
      <c r="A73" s="124" t="s">
        <v>824</v>
      </c>
      <c r="B73" s="125" t="n">
        <v>1</v>
      </c>
      <c r="C73" s="124" t="s">
        <v>1412</v>
      </c>
      <c r="D73" s="124" t="s">
        <v>1413</v>
      </c>
      <c r="E73" s="124" t="s">
        <v>1507</v>
      </c>
      <c r="F73" s="124" t="s">
        <v>1363</v>
      </c>
      <c r="G73" s="125"/>
      <c r="H73" s="124" t="s">
        <v>1496</v>
      </c>
    </row>
    <row r="74" customFormat="false" ht="73.5" hidden="false" customHeight="true" outlineLevel="0" collapsed="false">
      <c r="A74" s="124" t="s">
        <v>827</v>
      </c>
      <c r="B74" s="125" t="n">
        <v>1</v>
      </c>
      <c r="C74" s="124" t="s">
        <v>1428</v>
      </c>
      <c r="D74" s="124" t="s">
        <v>1508</v>
      </c>
      <c r="E74" s="124" t="s">
        <v>1509</v>
      </c>
      <c r="F74" s="124" t="s">
        <v>1355</v>
      </c>
      <c r="G74" s="125"/>
      <c r="H74" s="124" t="s">
        <v>1496</v>
      </c>
    </row>
    <row r="75" customFormat="false" ht="73.5" hidden="false" customHeight="true" outlineLevel="0" collapsed="false">
      <c r="A75" s="124" t="s">
        <v>830</v>
      </c>
      <c r="B75" s="125" t="n">
        <v>1</v>
      </c>
      <c r="C75" s="124" t="s">
        <v>1416</v>
      </c>
      <c r="D75" s="124" t="s">
        <v>1510</v>
      </c>
      <c r="E75" s="124" t="s">
        <v>1511</v>
      </c>
      <c r="F75" s="124" t="s">
        <v>1355</v>
      </c>
      <c r="G75" s="125"/>
      <c r="H75" s="124" t="s">
        <v>1496</v>
      </c>
    </row>
    <row r="76" customFormat="false" ht="73.5" hidden="false" customHeight="true" outlineLevel="0" collapsed="false">
      <c r="A76" s="124" t="s">
        <v>839</v>
      </c>
      <c r="B76" s="125" t="n">
        <v>1</v>
      </c>
      <c r="C76" s="124" t="s">
        <v>1428</v>
      </c>
      <c r="D76" s="124" t="s">
        <v>1512</v>
      </c>
      <c r="E76" s="124" t="s">
        <v>1513</v>
      </c>
      <c r="F76" s="124" t="s">
        <v>1355</v>
      </c>
      <c r="G76" s="125"/>
      <c r="H76" s="124" t="s">
        <v>1496</v>
      </c>
    </row>
    <row r="77" customFormat="false" ht="73.5" hidden="false" customHeight="true" outlineLevel="0" collapsed="false">
      <c r="A77" s="124" t="s">
        <v>842</v>
      </c>
      <c r="B77" s="125" t="n">
        <v>1</v>
      </c>
      <c r="C77" s="124" t="s">
        <v>1428</v>
      </c>
      <c r="D77" s="124" t="s">
        <v>1514</v>
      </c>
      <c r="E77" s="124" t="s">
        <v>1515</v>
      </c>
      <c r="F77" s="124" t="s">
        <v>1355</v>
      </c>
      <c r="G77" s="125"/>
      <c r="H77" s="124" t="s">
        <v>1496</v>
      </c>
    </row>
    <row r="78" customFormat="false" ht="73.5" hidden="false" customHeight="true" outlineLevel="0" collapsed="false">
      <c r="A78" s="124" t="s">
        <v>845</v>
      </c>
      <c r="B78" s="125" t="n">
        <v>1</v>
      </c>
      <c r="C78" s="124" t="s">
        <v>1428</v>
      </c>
      <c r="D78" s="124" t="s">
        <v>1516</v>
      </c>
      <c r="E78" s="124" t="s">
        <v>1517</v>
      </c>
      <c r="F78" s="124" t="s">
        <v>1355</v>
      </c>
      <c r="G78" s="125"/>
      <c r="H78" s="124" t="s">
        <v>1496</v>
      </c>
    </row>
    <row r="79" customFormat="false" ht="73.5" hidden="false" customHeight="true" outlineLevel="0" collapsed="false">
      <c r="A79" s="124" t="s">
        <v>848</v>
      </c>
      <c r="B79" s="125" t="n">
        <v>1</v>
      </c>
      <c r="C79" s="124" t="s">
        <v>1412</v>
      </c>
      <c r="D79" s="124" t="s">
        <v>1518</v>
      </c>
      <c r="E79" s="124" t="s">
        <v>1519</v>
      </c>
      <c r="F79" s="124" t="s">
        <v>1355</v>
      </c>
      <c r="G79" s="125"/>
      <c r="H79" s="124" t="s">
        <v>1496</v>
      </c>
    </row>
    <row r="80" customFormat="false" ht="73.5" hidden="false" customHeight="true" outlineLevel="0" collapsed="false">
      <c r="A80" s="124" t="s">
        <v>857</v>
      </c>
      <c r="B80" s="125" t="n">
        <v>1</v>
      </c>
      <c r="C80" s="124" t="s">
        <v>1416</v>
      </c>
      <c r="D80" s="124" t="s">
        <v>1520</v>
      </c>
      <c r="E80" s="124" t="s">
        <v>1521</v>
      </c>
      <c r="F80" s="124" t="s">
        <v>1355</v>
      </c>
      <c r="G80" s="125"/>
      <c r="H80" s="124" t="s">
        <v>1496</v>
      </c>
    </row>
    <row r="81" customFormat="false" ht="73.5" hidden="false" customHeight="true" outlineLevel="0" collapsed="false">
      <c r="A81" s="124" t="s">
        <v>860</v>
      </c>
      <c r="B81" s="125" t="n">
        <v>1</v>
      </c>
      <c r="C81" s="124" t="s">
        <v>1416</v>
      </c>
      <c r="D81" s="124" t="s">
        <v>1522</v>
      </c>
      <c r="E81" s="124" t="s">
        <v>1523</v>
      </c>
      <c r="F81" s="124" t="s">
        <v>1363</v>
      </c>
      <c r="G81" s="125"/>
      <c r="H81" s="124" t="s">
        <v>1496</v>
      </c>
    </row>
    <row r="82" customFormat="false" ht="73.5" hidden="false" customHeight="true" outlineLevel="0" collapsed="false">
      <c r="A82" s="124" t="s">
        <v>875</v>
      </c>
      <c r="B82" s="125" t="n">
        <v>1</v>
      </c>
      <c r="C82" s="124" t="s">
        <v>1416</v>
      </c>
      <c r="D82" s="124" t="s">
        <v>1524</v>
      </c>
      <c r="E82" s="124" t="s">
        <v>1525</v>
      </c>
      <c r="F82" s="124" t="s">
        <v>1363</v>
      </c>
      <c r="G82" s="125"/>
      <c r="H82" s="124" t="s">
        <v>1496</v>
      </c>
    </row>
    <row r="83" customFormat="false" ht="73.5" hidden="false" customHeight="true" outlineLevel="0" collapsed="false">
      <c r="A83" s="124" t="s">
        <v>878</v>
      </c>
      <c r="B83" s="125" t="n">
        <v>1</v>
      </c>
      <c r="C83" s="124" t="s">
        <v>1412</v>
      </c>
      <c r="D83" s="124" t="s">
        <v>1526</v>
      </c>
      <c r="E83" s="124" t="s">
        <v>1527</v>
      </c>
      <c r="F83" s="124" t="s">
        <v>1355</v>
      </c>
      <c r="G83" s="125"/>
      <c r="H83" s="124" t="s">
        <v>1496</v>
      </c>
    </row>
    <row r="84" customFormat="false" ht="73.5" hidden="false" customHeight="true" outlineLevel="0" collapsed="false">
      <c r="A84" s="124" t="s">
        <v>915</v>
      </c>
      <c r="B84" s="125" t="n">
        <v>1</v>
      </c>
      <c r="C84" s="124" t="s">
        <v>1412</v>
      </c>
      <c r="D84" s="124" t="s">
        <v>1528</v>
      </c>
      <c r="E84" s="124" t="s">
        <v>1529</v>
      </c>
      <c r="F84" s="124" t="s">
        <v>1355</v>
      </c>
      <c r="G84" s="125"/>
      <c r="H84" s="124" t="s">
        <v>1496</v>
      </c>
    </row>
    <row r="85" customFormat="false" ht="73.5" hidden="false" customHeight="true" outlineLevel="0" collapsed="false">
      <c r="A85" s="124" t="s">
        <v>954</v>
      </c>
      <c r="B85" s="125" t="n">
        <v>1</v>
      </c>
      <c r="C85" s="124" t="s">
        <v>1428</v>
      </c>
      <c r="D85" s="124" t="s">
        <v>1530</v>
      </c>
      <c r="E85" s="124" t="s">
        <v>1531</v>
      </c>
      <c r="F85" s="124" t="s">
        <v>1355</v>
      </c>
      <c r="G85" s="125"/>
      <c r="H85" s="124" t="s">
        <v>1496</v>
      </c>
    </row>
    <row r="86" customFormat="false" ht="73.5" hidden="false" customHeight="true" outlineLevel="0" collapsed="false">
      <c r="A86" s="124" t="s">
        <v>742</v>
      </c>
      <c r="B86" s="125" t="n">
        <v>1</v>
      </c>
      <c r="C86" s="124" t="s">
        <v>1416</v>
      </c>
      <c r="D86" s="124" t="s">
        <v>1532</v>
      </c>
      <c r="E86" s="124" t="s">
        <v>1533</v>
      </c>
      <c r="F86" s="124" t="s">
        <v>1363</v>
      </c>
      <c r="G86" s="125"/>
      <c r="H86" s="124" t="s">
        <v>1496</v>
      </c>
    </row>
    <row r="87" customFormat="false" ht="73.5" hidden="false" customHeight="true" outlineLevel="0" collapsed="false">
      <c r="A87" s="124" t="s">
        <v>746</v>
      </c>
      <c r="B87" s="125" t="n">
        <v>1</v>
      </c>
      <c r="C87" s="124" t="s">
        <v>1416</v>
      </c>
      <c r="D87" s="124" t="s">
        <v>1534</v>
      </c>
      <c r="E87" s="124" t="s">
        <v>1535</v>
      </c>
      <c r="F87" s="124" t="s">
        <v>1355</v>
      </c>
      <c r="G87" s="125"/>
      <c r="H87" s="124" t="s">
        <v>1496</v>
      </c>
    </row>
    <row r="88" customFormat="false" ht="73.5" hidden="false" customHeight="true" outlineLevel="0" collapsed="false">
      <c r="A88" s="124" t="s">
        <v>979</v>
      </c>
      <c r="B88" s="125" t="n">
        <v>1</v>
      </c>
      <c r="C88" s="124" t="s">
        <v>1412</v>
      </c>
      <c r="D88" s="124" t="s">
        <v>1536</v>
      </c>
      <c r="E88" s="124" t="s">
        <v>1537</v>
      </c>
      <c r="F88" s="124" t="s">
        <v>1355</v>
      </c>
      <c r="G88" s="125"/>
      <c r="H88" s="124" t="s">
        <v>1496</v>
      </c>
    </row>
    <row r="89" customFormat="false" ht="73.5" hidden="false" customHeight="true" outlineLevel="0" collapsed="false">
      <c r="A89" s="124" t="s">
        <v>983</v>
      </c>
      <c r="B89" s="125" t="n">
        <v>1</v>
      </c>
      <c r="C89" s="124" t="s">
        <v>1412</v>
      </c>
      <c r="D89" s="124" t="s">
        <v>1538</v>
      </c>
      <c r="E89" s="124" t="s">
        <v>1539</v>
      </c>
      <c r="F89" s="124" t="s">
        <v>1355</v>
      </c>
      <c r="G89" s="125"/>
      <c r="H89" s="124" t="s">
        <v>1496</v>
      </c>
    </row>
    <row r="90" customFormat="false" ht="73.5" hidden="false" customHeight="true" outlineLevel="0" collapsed="false">
      <c r="A90" s="124" t="s">
        <v>986</v>
      </c>
      <c r="B90" s="125" t="n">
        <v>1</v>
      </c>
      <c r="C90" s="124" t="s">
        <v>1416</v>
      </c>
      <c r="D90" s="124" t="s">
        <v>1540</v>
      </c>
      <c r="E90" s="124" t="s">
        <v>1541</v>
      </c>
      <c r="F90" s="124" t="s">
        <v>1423</v>
      </c>
      <c r="G90" s="125"/>
      <c r="H90" s="124" t="s">
        <v>1496</v>
      </c>
    </row>
    <row r="91" customFormat="false" ht="73.5" hidden="false" customHeight="true" outlineLevel="0" collapsed="false">
      <c r="A91" s="124" t="s">
        <v>995</v>
      </c>
      <c r="B91" s="125" t="n">
        <v>1</v>
      </c>
      <c r="C91" s="124" t="s">
        <v>1416</v>
      </c>
      <c r="D91" s="124" t="s">
        <v>1542</v>
      </c>
      <c r="E91" s="124" t="s">
        <v>1543</v>
      </c>
      <c r="F91" s="124" t="s">
        <v>1363</v>
      </c>
      <c r="G91" s="125"/>
      <c r="H91" s="124" t="s">
        <v>1496</v>
      </c>
    </row>
    <row r="92" customFormat="false" ht="73.5" hidden="false" customHeight="true" outlineLevel="0" collapsed="false">
      <c r="A92" s="124" t="s">
        <v>998</v>
      </c>
      <c r="B92" s="125" t="n">
        <v>1</v>
      </c>
      <c r="C92" s="124" t="s">
        <v>1416</v>
      </c>
      <c r="D92" s="124" t="s">
        <v>1544</v>
      </c>
      <c r="E92" s="124" t="s">
        <v>1545</v>
      </c>
      <c r="F92" s="124" t="s">
        <v>1363</v>
      </c>
      <c r="G92" s="125"/>
      <c r="H92" s="124" t="s">
        <v>1496</v>
      </c>
    </row>
    <row r="93" customFormat="false" ht="73.5" hidden="false" customHeight="true" outlineLevel="0" collapsed="false">
      <c r="A93" s="124" t="s">
        <v>773</v>
      </c>
      <c r="B93" s="125" t="n">
        <v>1</v>
      </c>
      <c r="C93" s="124" t="s">
        <v>1416</v>
      </c>
      <c r="D93" s="124" t="s">
        <v>1546</v>
      </c>
      <c r="E93" s="124" t="s">
        <v>1547</v>
      </c>
      <c r="F93" s="124" t="s">
        <v>1355</v>
      </c>
      <c r="G93" s="125"/>
      <c r="H93" s="124" t="s">
        <v>1496</v>
      </c>
    </row>
    <row r="94" customFormat="false" ht="73.5" hidden="false" customHeight="true" outlineLevel="0" collapsed="false">
      <c r="A94" s="124" t="s">
        <v>812</v>
      </c>
      <c r="B94" s="125" t="n">
        <v>1</v>
      </c>
      <c r="C94" s="124" t="s">
        <v>1428</v>
      </c>
      <c r="D94" s="124" t="s">
        <v>1548</v>
      </c>
      <c r="E94" s="124" t="s">
        <v>1549</v>
      </c>
      <c r="F94" s="124" t="s">
        <v>1355</v>
      </c>
      <c r="G94" s="125"/>
      <c r="H94" s="124" t="s">
        <v>1496</v>
      </c>
    </row>
    <row r="95" customFormat="false" ht="73.5" hidden="false" customHeight="true" outlineLevel="0" collapsed="false">
      <c r="A95" s="124" t="s">
        <v>836</v>
      </c>
      <c r="B95" s="125" t="n">
        <v>1</v>
      </c>
      <c r="C95" s="124" t="s">
        <v>1428</v>
      </c>
      <c r="D95" s="124" t="s">
        <v>1550</v>
      </c>
      <c r="E95" s="124" t="s">
        <v>1551</v>
      </c>
      <c r="F95" s="124" t="s">
        <v>1355</v>
      </c>
      <c r="G95" s="125"/>
      <c r="H95" s="124" t="s">
        <v>1496</v>
      </c>
    </row>
    <row r="96" customFormat="false" ht="73.5" hidden="false" customHeight="true" outlineLevel="0" collapsed="false">
      <c r="A96" s="124" t="s">
        <v>854</v>
      </c>
      <c r="B96" s="125" t="n">
        <v>1</v>
      </c>
      <c r="C96" s="124" t="s">
        <v>1428</v>
      </c>
      <c r="D96" s="124" t="s">
        <v>1552</v>
      </c>
      <c r="E96" s="124" t="s">
        <v>1553</v>
      </c>
      <c r="F96" s="124" t="s">
        <v>1355</v>
      </c>
      <c r="G96" s="125"/>
      <c r="H96" s="124" t="s">
        <v>1496</v>
      </c>
    </row>
    <row r="97" customFormat="false" ht="73.5" hidden="false" customHeight="true" outlineLevel="0" collapsed="false">
      <c r="A97" s="124" t="s">
        <v>863</v>
      </c>
      <c r="B97" s="125" t="n">
        <v>1</v>
      </c>
      <c r="C97" s="124" t="s">
        <v>1412</v>
      </c>
      <c r="D97" s="124" t="s">
        <v>1554</v>
      </c>
      <c r="E97" s="124" t="s">
        <v>1555</v>
      </c>
      <c r="F97" s="124" t="s">
        <v>1355</v>
      </c>
      <c r="G97" s="125"/>
      <c r="H97" s="124" t="s">
        <v>1496</v>
      </c>
    </row>
    <row r="98" customFormat="false" ht="73.5" hidden="false" customHeight="true" outlineLevel="0" collapsed="false">
      <c r="A98" s="124" t="s">
        <v>866</v>
      </c>
      <c r="B98" s="125" t="n">
        <v>1</v>
      </c>
      <c r="C98" s="124" t="s">
        <v>1416</v>
      </c>
      <c r="D98" s="124" t="s">
        <v>1556</v>
      </c>
      <c r="E98" s="124" t="s">
        <v>1557</v>
      </c>
      <c r="F98" s="124" t="s">
        <v>1355</v>
      </c>
      <c r="G98" s="125"/>
      <c r="H98" s="124" t="s">
        <v>1496</v>
      </c>
    </row>
    <row r="99" customFormat="false" ht="73.5" hidden="false" customHeight="true" outlineLevel="0" collapsed="false">
      <c r="A99" s="124" t="s">
        <v>869</v>
      </c>
      <c r="B99" s="125" t="n">
        <v>1</v>
      </c>
      <c r="C99" s="124" t="s">
        <v>1416</v>
      </c>
      <c r="D99" s="124" t="s">
        <v>1558</v>
      </c>
      <c r="E99" s="124" t="s">
        <v>1559</v>
      </c>
      <c r="F99" s="124" t="s">
        <v>1355</v>
      </c>
      <c r="G99" s="125"/>
      <c r="H99" s="124" t="s">
        <v>1496</v>
      </c>
    </row>
    <row r="100" customFormat="false" ht="73.5" hidden="false" customHeight="true" outlineLevel="0" collapsed="false">
      <c r="A100" s="124" t="s">
        <v>872</v>
      </c>
      <c r="B100" s="125" t="n">
        <v>1</v>
      </c>
      <c r="C100" s="124" t="s">
        <v>1416</v>
      </c>
      <c r="D100" s="124" t="s">
        <v>1560</v>
      </c>
      <c r="E100" s="124" t="s">
        <v>1561</v>
      </c>
      <c r="F100" s="124" t="s">
        <v>1363</v>
      </c>
      <c r="G100" s="125"/>
      <c r="H100" s="124" t="s">
        <v>1496</v>
      </c>
    </row>
    <row r="101" customFormat="false" ht="73.5" hidden="false" customHeight="true" outlineLevel="0" collapsed="false">
      <c r="A101" s="124" t="s">
        <v>881</v>
      </c>
      <c r="B101" s="125" t="n">
        <v>1</v>
      </c>
      <c r="C101" s="124" t="s">
        <v>1412</v>
      </c>
      <c r="D101" s="124" t="s">
        <v>1562</v>
      </c>
      <c r="E101" s="124" t="s">
        <v>1563</v>
      </c>
      <c r="F101" s="124" t="s">
        <v>1355</v>
      </c>
      <c r="G101" s="125"/>
      <c r="H101" s="124" t="s">
        <v>1496</v>
      </c>
    </row>
    <row r="102" customFormat="false" ht="73.5" hidden="false" customHeight="true" outlineLevel="0" collapsed="false">
      <c r="A102" s="124" t="s">
        <v>918</v>
      </c>
      <c r="B102" s="125" t="n">
        <v>1</v>
      </c>
      <c r="C102" s="124" t="s">
        <v>1412</v>
      </c>
      <c r="D102" s="124" t="s">
        <v>1564</v>
      </c>
      <c r="E102" s="124" t="s">
        <v>1565</v>
      </c>
      <c r="F102" s="124" t="s">
        <v>1355</v>
      </c>
      <c r="G102" s="125"/>
      <c r="H102" s="124" t="s">
        <v>1496</v>
      </c>
    </row>
    <row r="103" customFormat="false" ht="73.5" hidden="false" customHeight="true" outlineLevel="0" collapsed="false">
      <c r="A103" s="124" t="s">
        <v>930</v>
      </c>
      <c r="B103" s="125" t="n">
        <v>1</v>
      </c>
      <c r="C103" s="124" t="s">
        <v>1428</v>
      </c>
      <c r="D103" s="124" t="s">
        <v>1566</v>
      </c>
      <c r="E103" s="124" t="s">
        <v>1567</v>
      </c>
      <c r="F103" s="124" t="s">
        <v>1355</v>
      </c>
      <c r="G103" s="125"/>
      <c r="H103" s="124" t="s">
        <v>1496</v>
      </c>
    </row>
    <row r="104" customFormat="false" ht="73.5" hidden="false" customHeight="true" outlineLevel="0" collapsed="false">
      <c r="A104" s="124" t="s">
        <v>933</v>
      </c>
      <c r="B104" s="125" t="n">
        <v>1</v>
      </c>
      <c r="C104" s="124" t="s">
        <v>1428</v>
      </c>
      <c r="D104" s="124" t="s">
        <v>1568</v>
      </c>
      <c r="E104" s="124" t="s">
        <v>1569</v>
      </c>
      <c r="F104" s="124" t="s">
        <v>1355</v>
      </c>
      <c r="G104" s="125"/>
      <c r="H104" s="124" t="s">
        <v>1496</v>
      </c>
    </row>
    <row r="105" customFormat="false" ht="73.5" hidden="false" customHeight="true" outlineLevel="0" collapsed="false">
      <c r="A105" s="124" t="s">
        <v>942</v>
      </c>
      <c r="B105" s="125" t="n">
        <v>1</v>
      </c>
      <c r="C105" s="124" t="s">
        <v>1428</v>
      </c>
      <c r="D105" s="124" t="s">
        <v>1570</v>
      </c>
      <c r="E105" s="124" t="s">
        <v>1571</v>
      </c>
      <c r="F105" s="124" t="s">
        <v>1355</v>
      </c>
      <c r="G105" s="125"/>
      <c r="H105" s="124" t="s">
        <v>1496</v>
      </c>
    </row>
    <row r="106" customFormat="false" ht="73.5" hidden="false" customHeight="true" outlineLevel="0" collapsed="false">
      <c r="A106" s="124" t="s">
        <v>992</v>
      </c>
      <c r="B106" s="125" t="n">
        <v>1</v>
      </c>
      <c r="C106" s="124" t="s">
        <v>1416</v>
      </c>
      <c r="D106" s="124" t="s">
        <v>1572</v>
      </c>
      <c r="E106" s="124" t="s">
        <v>1573</v>
      </c>
      <c r="F106" s="124" t="s">
        <v>1363</v>
      </c>
      <c r="G106" s="125"/>
      <c r="H106" s="124" t="s">
        <v>1496</v>
      </c>
    </row>
    <row r="107" customFormat="false" ht="73.5" hidden="false" customHeight="true" outlineLevel="0" collapsed="false">
      <c r="A107" s="126" t="s">
        <v>779</v>
      </c>
      <c r="B107" s="125" t="n">
        <v>1</v>
      </c>
      <c r="C107" s="126" t="s">
        <v>1420</v>
      </c>
      <c r="D107" s="126" t="s">
        <v>1574</v>
      </c>
      <c r="E107" s="126" t="s">
        <v>1575</v>
      </c>
      <c r="F107" s="126" t="s">
        <v>1363</v>
      </c>
      <c r="G107" s="126" t="s">
        <v>627</v>
      </c>
      <c r="H107" s="126" t="s">
        <v>1576</v>
      </c>
    </row>
    <row r="108" customFormat="false" ht="73.5" hidden="false" customHeight="true" outlineLevel="0" collapsed="false">
      <c r="A108" s="126" t="s">
        <v>788</v>
      </c>
      <c r="B108" s="125" t="n">
        <v>1</v>
      </c>
      <c r="C108" s="126" t="s">
        <v>1420</v>
      </c>
      <c r="D108" s="126" t="s">
        <v>1577</v>
      </c>
      <c r="E108" s="126" t="s">
        <v>1578</v>
      </c>
      <c r="F108" s="126" t="s">
        <v>1363</v>
      </c>
      <c r="G108" s="126" t="s">
        <v>679</v>
      </c>
      <c r="H108" s="126" t="s">
        <v>1576</v>
      </c>
    </row>
    <row r="109" customFormat="false" ht="73.5" hidden="false" customHeight="true" outlineLevel="0" collapsed="false">
      <c r="A109" s="126" t="s">
        <v>806</v>
      </c>
      <c r="B109" s="125" t="n">
        <v>1</v>
      </c>
      <c r="C109" s="126" t="s">
        <v>1420</v>
      </c>
      <c r="D109" s="126" t="s">
        <v>1579</v>
      </c>
      <c r="E109" s="126" t="s">
        <v>1580</v>
      </c>
      <c r="F109" s="126" t="s">
        <v>1363</v>
      </c>
      <c r="G109" s="126" t="s">
        <v>605</v>
      </c>
      <c r="H109" s="126" t="s">
        <v>1576</v>
      </c>
    </row>
    <row r="110" customFormat="false" ht="73.5" hidden="false" customHeight="true" outlineLevel="0" collapsed="false">
      <c r="A110" s="126" t="s">
        <v>884</v>
      </c>
      <c r="B110" s="125" t="n">
        <v>1</v>
      </c>
      <c r="C110" s="126" t="s">
        <v>1420</v>
      </c>
      <c r="D110" s="126" t="s">
        <v>1581</v>
      </c>
      <c r="E110" s="126" t="s">
        <v>1582</v>
      </c>
      <c r="F110" s="126" t="s">
        <v>1363</v>
      </c>
      <c r="G110" s="126" t="s">
        <v>532</v>
      </c>
      <c r="H110" s="126" t="s">
        <v>1576</v>
      </c>
    </row>
    <row r="111" customFormat="false" ht="73.5" hidden="false" customHeight="true" outlineLevel="0" collapsed="false">
      <c r="A111" s="126" t="s">
        <v>887</v>
      </c>
      <c r="B111" s="125" t="n">
        <v>1</v>
      </c>
      <c r="C111" s="126" t="s">
        <v>1420</v>
      </c>
      <c r="D111" s="126" t="s">
        <v>1583</v>
      </c>
      <c r="E111" s="126" t="s">
        <v>1584</v>
      </c>
      <c r="F111" s="126" t="s">
        <v>1363</v>
      </c>
      <c r="G111" s="126" t="s">
        <v>532</v>
      </c>
      <c r="H111" s="126" t="s">
        <v>1576</v>
      </c>
    </row>
    <row r="112" customFormat="false" ht="73.5" hidden="false" customHeight="true" outlineLevel="0" collapsed="false">
      <c r="A112" s="126" t="s">
        <v>891</v>
      </c>
      <c r="B112" s="125" t="n">
        <v>1</v>
      </c>
      <c r="C112" s="126" t="s">
        <v>1420</v>
      </c>
      <c r="D112" s="126" t="s">
        <v>1585</v>
      </c>
      <c r="E112" s="126" t="s">
        <v>1586</v>
      </c>
      <c r="F112" s="126" t="s">
        <v>1355</v>
      </c>
      <c r="G112" s="126" t="s">
        <v>667</v>
      </c>
      <c r="H112" s="126" t="s">
        <v>1576</v>
      </c>
    </row>
    <row r="113" customFormat="false" ht="73.5" hidden="false" customHeight="true" outlineLevel="0" collapsed="false">
      <c r="A113" s="126" t="s">
        <v>894</v>
      </c>
      <c r="B113" s="125" t="n">
        <v>1</v>
      </c>
      <c r="C113" s="126" t="s">
        <v>1420</v>
      </c>
      <c r="D113" s="126" t="s">
        <v>1587</v>
      </c>
      <c r="E113" s="126" t="s">
        <v>1588</v>
      </c>
      <c r="F113" s="126" t="s">
        <v>1363</v>
      </c>
      <c r="G113" s="126" t="s">
        <v>532</v>
      </c>
      <c r="H113" s="126" t="s">
        <v>1576</v>
      </c>
    </row>
    <row r="114" customFormat="false" ht="73.5" hidden="false" customHeight="true" outlineLevel="0" collapsed="false">
      <c r="A114" s="126" t="s">
        <v>897</v>
      </c>
      <c r="B114" s="125" t="n">
        <v>1</v>
      </c>
      <c r="C114" s="126" t="s">
        <v>1420</v>
      </c>
      <c r="D114" s="126" t="s">
        <v>1589</v>
      </c>
      <c r="E114" s="126" t="s">
        <v>1590</v>
      </c>
      <c r="F114" s="126" t="s">
        <v>1363</v>
      </c>
      <c r="G114" s="126" t="s">
        <v>675</v>
      </c>
      <c r="H114" s="126" t="s">
        <v>1576</v>
      </c>
    </row>
    <row r="115" customFormat="false" ht="73.5" hidden="false" customHeight="true" outlineLevel="0" collapsed="false">
      <c r="A115" s="126" t="s">
        <v>900</v>
      </c>
      <c r="B115" s="125" t="n">
        <v>1</v>
      </c>
      <c r="C115" s="126" t="s">
        <v>1420</v>
      </c>
      <c r="D115" s="126" t="s">
        <v>1591</v>
      </c>
      <c r="E115" s="126" t="s">
        <v>1592</v>
      </c>
      <c r="F115" s="126" t="s">
        <v>1355</v>
      </c>
      <c r="G115" s="126" t="s">
        <v>667</v>
      </c>
      <c r="H115" s="126" t="s">
        <v>1576</v>
      </c>
    </row>
    <row r="116" customFormat="false" ht="73.5" hidden="false" customHeight="true" outlineLevel="0" collapsed="false">
      <c r="A116" s="126" t="s">
        <v>903</v>
      </c>
      <c r="B116" s="125" t="n">
        <v>1</v>
      </c>
      <c r="C116" s="126" t="s">
        <v>1420</v>
      </c>
      <c r="D116" s="126" t="s">
        <v>1593</v>
      </c>
      <c r="E116" s="126" t="s">
        <v>1594</v>
      </c>
      <c r="F116" s="126" t="s">
        <v>1363</v>
      </c>
      <c r="G116" s="126" t="s">
        <v>671</v>
      </c>
      <c r="H116" s="126" t="s">
        <v>1576</v>
      </c>
    </row>
    <row r="117" customFormat="false" ht="73.5" hidden="false" customHeight="true" outlineLevel="0" collapsed="false">
      <c r="A117" s="126" t="s">
        <v>906</v>
      </c>
      <c r="B117" s="125" t="n">
        <v>1</v>
      </c>
      <c r="C117" s="126" t="s">
        <v>1420</v>
      </c>
      <c r="D117" s="126" t="s">
        <v>1595</v>
      </c>
      <c r="E117" s="126" t="s">
        <v>1596</v>
      </c>
      <c r="F117" s="126" t="s">
        <v>1363</v>
      </c>
      <c r="G117" s="126" t="s">
        <v>532</v>
      </c>
      <c r="H117" s="126" t="s">
        <v>1576</v>
      </c>
    </row>
    <row r="118" customFormat="false" ht="73.5" hidden="false" customHeight="true" outlineLevel="0" collapsed="false">
      <c r="A118" s="126" t="s">
        <v>909</v>
      </c>
      <c r="B118" s="125" t="n">
        <v>1</v>
      </c>
      <c r="C118" s="126" t="s">
        <v>1420</v>
      </c>
      <c r="D118" s="126" t="s">
        <v>1597</v>
      </c>
      <c r="E118" s="126" t="s">
        <v>1598</v>
      </c>
      <c r="F118" s="126" t="s">
        <v>1363</v>
      </c>
      <c r="G118" s="126" t="s">
        <v>679</v>
      </c>
      <c r="H118" s="126" t="s">
        <v>1576</v>
      </c>
    </row>
    <row r="119" customFormat="false" ht="73.5" hidden="false" customHeight="true" outlineLevel="0" collapsed="false">
      <c r="A119" s="126" t="s">
        <v>912</v>
      </c>
      <c r="B119" s="125" t="n">
        <v>1</v>
      </c>
      <c r="C119" s="126" t="s">
        <v>1420</v>
      </c>
      <c r="D119" s="126" t="s">
        <v>1599</v>
      </c>
      <c r="E119" s="126" t="s">
        <v>1600</v>
      </c>
      <c r="F119" s="126" t="s">
        <v>1355</v>
      </c>
      <c r="G119" s="126" t="s">
        <v>610</v>
      </c>
      <c r="H119" s="126" t="s">
        <v>1576</v>
      </c>
    </row>
    <row r="121" customFormat="false" ht="17.15" hidden="false" customHeight="false" outlineLevel="0" collapsed="false">
      <c r="A121" s="1" t="s">
        <v>1601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2026-04-25T06:30:04Z</dcterms:created>
  <dc:creator>openpyxl</dc:creator>
  <dc:description/>
  <dc:language>en-US</dc:language>
  <cp:lastModifiedBy>体験 gogo</cp:lastModifiedBy>
  <dcterms:modified xsi:type="dcterms:W3CDTF">2026-07-25T05:59:03Z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